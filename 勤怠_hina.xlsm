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to\Desktop\havy\"/>
    </mc:Choice>
  </mc:AlternateContent>
  <xr:revisionPtr revIDLastSave="0" documentId="13_ncr:1_{283B2C6B-127E-4E60-AEE0-BE0961FE4282}" xr6:coauthVersionLast="34" xr6:coauthVersionMax="34" xr10:uidLastSave="{00000000-0000-0000-0000-000000000000}"/>
  <bookViews>
    <workbookView xWindow="0" yWindow="0" windowWidth="24645" windowHeight="9900" activeTab="8" xr2:uid="{F9CB7771-D96D-40E3-AA0B-5113B5E264F3}"/>
  </bookViews>
  <sheets>
    <sheet name="hina" sheetId="2" r:id="rId1"/>
    <sheet name="hina_2" sheetId="6" r:id="rId2"/>
    <sheet name="2" sheetId="1" r:id="rId3"/>
    <sheet name="3" sheetId="4" r:id="rId4"/>
    <sheet name="４" sheetId="5" r:id="rId5"/>
    <sheet name="５" sheetId="7" r:id="rId6"/>
    <sheet name="6" sheetId="10" r:id="rId7"/>
    <sheet name="７" sheetId="11" r:id="rId8"/>
    <sheet name="８" sheetId="12" r:id="rId9"/>
    <sheet name="９" sheetId="13" r:id="rId10"/>
    <sheet name="10" sheetId="15" r:id="rId11"/>
    <sheet name="11" sheetId="16" r:id="rId12"/>
    <sheet name="12" sheetId="17" r:id="rId13"/>
    <sheet name="Sheet1" sheetId="9" r:id="rId14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9" l="1"/>
  <c r="J14" i="9" s="1"/>
  <c r="P21" i="10" l="1"/>
  <c r="P23" i="10" s="1"/>
  <c r="Q21" i="10"/>
  <c r="Q23" i="10" s="1"/>
  <c r="R21" i="10"/>
  <c r="R23" i="10" s="1"/>
  <c r="S21" i="10"/>
  <c r="S23" i="10" s="1"/>
  <c r="O21" i="10"/>
  <c r="O23" i="10" s="1"/>
  <c r="N21" i="10"/>
  <c r="N23" i="10" s="1"/>
  <c r="H36" i="17" l="1"/>
  <c r="G36" i="17"/>
  <c r="A36" i="17"/>
  <c r="B36" i="17" s="1"/>
  <c r="H35" i="17"/>
  <c r="G35" i="17"/>
  <c r="A35" i="17"/>
  <c r="C35" i="17" s="1"/>
  <c r="H34" i="17"/>
  <c r="G34" i="17"/>
  <c r="A34" i="17"/>
  <c r="B34" i="17" s="1"/>
  <c r="H33" i="17"/>
  <c r="G33" i="17"/>
  <c r="A33" i="17"/>
  <c r="B33" i="17" s="1"/>
  <c r="H32" i="17"/>
  <c r="G32" i="17"/>
  <c r="A32" i="17"/>
  <c r="B32" i="17" s="1"/>
  <c r="H31" i="17"/>
  <c r="G31" i="17"/>
  <c r="A31" i="17"/>
  <c r="C31" i="17" s="1"/>
  <c r="H30" i="17"/>
  <c r="G30" i="17"/>
  <c r="A30" i="17"/>
  <c r="B30" i="17" s="1"/>
  <c r="H29" i="17"/>
  <c r="G29" i="17"/>
  <c r="A29" i="17"/>
  <c r="B29" i="17" s="1"/>
  <c r="H28" i="17"/>
  <c r="G28" i="17"/>
  <c r="A28" i="17"/>
  <c r="B28" i="17" s="1"/>
  <c r="H27" i="17"/>
  <c r="G27" i="17"/>
  <c r="A27" i="17"/>
  <c r="C27" i="17" s="1"/>
  <c r="H26" i="17"/>
  <c r="G26" i="17"/>
  <c r="A26" i="17"/>
  <c r="B26" i="17" s="1"/>
  <c r="H25" i="17"/>
  <c r="G25" i="17"/>
  <c r="A25" i="17"/>
  <c r="B25" i="17" s="1"/>
  <c r="H24" i="17"/>
  <c r="G24" i="17"/>
  <c r="A24" i="17"/>
  <c r="B24" i="17" s="1"/>
  <c r="H23" i="17"/>
  <c r="G23" i="17"/>
  <c r="A23" i="17"/>
  <c r="C23" i="17" s="1"/>
  <c r="H22" i="17"/>
  <c r="G22" i="17"/>
  <c r="A22" i="17"/>
  <c r="B22" i="17" s="1"/>
  <c r="H21" i="17"/>
  <c r="G21" i="17"/>
  <c r="A21" i="17"/>
  <c r="C21" i="17" s="1"/>
  <c r="H20" i="17"/>
  <c r="G20" i="17"/>
  <c r="A20" i="17"/>
  <c r="B20" i="17" s="1"/>
  <c r="H19" i="17"/>
  <c r="G19" i="17"/>
  <c r="A19" i="17"/>
  <c r="C19" i="17" s="1"/>
  <c r="H18" i="17"/>
  <c r="G18" i="17"/>
  <c r="A18" i="17"/>
  <c r="B18" i="17" s="1"/>
  <c r="H17" i="17"/>
  <c r="G17" i="17"/>
  <c r="A17" i="17"/>
  <c r="B17" i="17" s="1"/>
  <c r="H16" i="17"/>
  <c r="G16" i="17"/>
  <c r="A16" i="17"/>
  <c r="B16" i="17" s="1"/>
  <c r="H15" i="17"/>
  <c r="G15" i="17"/>
  <c r="A15" i="17"/>
  <c r="C15" i="17" s="1"/>
  <c r="G14" i="17"/>
  <c r="H14" i="17" s="1"/>
  <c r="A14" i="17"/>
  <c r="B14" i="17" s="1"/>
  <c r="G13" i="17"/>
  <c r="H13" i="17" s="1"/>
  <c r="A13" i="17"/>
  <c r="C13" i="17" s="1"/>
  <c r="H12" i="17"/>
  <c r="G12" i="17"/>
  <c r="A12" i="17"/>
  <c r="B12" i="17" s="1"/>
  <c r="H11" i="17"/>
  <c r="G11" i="17"/>
  <c r="A11" i="17"/>
  <c r="C11" i="17" s="1"/>
  <c r="G10" i="17"/>
  <c r="H10" i="17" s="1"/>
  <c r="A10" i="17"/>
  <c r="B10" i="17" s="1"/>
  <c r="H9" i="17"/>
  <c r="G9" i="17"/>
  <c r="A9" i="17"/>
  <c r="C9" i="17" s="1"/>
  <c r="H8" i="17"/>
  <c r="G8" i="17"/>
  <c r="A8" i="17"/>
  <c r="B8" i="17" s="1"/>
  <c r="G7" i="17"/>
  <c r="H7" i="17" s="1"/>
  <c r="A7" i="17"/>
  <c r="C7" i="17" s="1"/>
  <c r="H6" i="17"/>
  <c r="G6" i="17"/>
  <c r="A6" i="17"/>
  <c r="B6" i="17" s="1"/>
  <c r="H36" i="15"/>
  <c r="H36" i="6"/>
  <c r="H35" i="16"/>
  <c r="G35" i="16"/>
  <c r="A35" i="16"/>
  <c r="B35" i="16" s="1"/>
  <c r="H34" i="16"/>
  <c r="G34" i="16"/>
  <c r="A34" i="16"/>
  <c r="C34" i="16" s="1"/>
  <c r="H33" i="16"/>
  <c r="G33" i="16"/>
  <c r="A33" i="16"/>
  <c r="C33" i="16" s="1"/>
  <c r="H32" i="16"/>
  <c r="G32" i="16"/>
  <c r="A32" i="16"/>
  <c r="C32" i="16" s="1"/>
  <c r="H31" i="16"/>
  <c r="G31" i="16"/>
  <c r="A31" i="16"/>
  <c r="B31" i="16" s="1"/>
  <c r="H30" i="16"/>
  <c r="G30" i="16"/>
  <c r="A30" i="16"/>
  <c r="C30" i="16" s="1"/>
  <c r="H29" i="16"/>
  <c r="G29" i="16"/>
  <c r="A29" i="16"/>
  <c r="C29" i="16" s="1"/>
  <c r="H28" i="16"/>
  <c r="G28" i="16"/>
  <c r="A28" i="16"/>
  <c r="C28" i="16" s="1"/>
  <c r="H27" i="16"/>
  <c r="G27" i="16"/>
  <c r="A27" i="16"/>
  <c r="B27" i="16" s="1"/>
  <c r="H26" i="16"/>
  <c r="G26" i="16"/>
  <c r="A26" i="16"/>
  <c r="C26" i="16" s="1"/>
  <c r="H25" i="16"/>
  <c r="G25" i="16"/>
  <c r="A25" i="16"/>
  <c r="C25" i="16" s="1"/>
  <c r="H24" i="16"/>
  <c r="G24" i="16"/>
  <c r="A24" i="16"/>
  <c r="B24" i="16" s="1"/>
  <c r="H23" i="16"/>
  <c r="G23" i="16"/>
  <c r="A23" i="16"/>
  <c r="B23" i="16" s="1"/>
  <c r="H22" i="16"/>
  <c r="G22" i="16"/>
  <c r="A22" i="16"/>
  <c r="C22" i="16" s="1"/>
  <c r="H21" i="16"/>
  <c r="G21" i="16"/>
  <c r="A21" i="16"/>
  <c r="C21" i="16" s="1"/>
  <c r="H20" i="16"/>
  <c r="G20" i="16"/>
  <c r="A20" i="16"/>
  <c r="B20" i="16" s="1"/>
  <c r="H19" i="16"/>
  <c r="G19" i="16"/>
  <c r="A19" i="16"/>
  <c r="B19" i="16" s="1"/>
  <c r="H18" i="16"/>
  <c r="G18" i="16"/>
  <c r="A18" i="16"/>
  <c r="C18" i="16" s="1"/>
  <c r="H17" i="16"/>
  <c r="G17" i="16"/>
  <c r="A17" i="16"/>
  <c r="C17" i="16" s="1"/>
  <c r="H16" i="16"/>
  <c r="G16" i="16"/>
  <c r="B16" i="16"/>
  <c r="A16" i="16"/>
  <c r="C16" i="16" s="1"/>
  <c r="H15" i="16"/>
  <c r="G15" i="16"/>
  <c r="A15" i="16"/>
  <c r="B15" i="16" s="1"/>
  <c r="G14" i="16"/>
  <c r="H14" i="16" s="1"/>
  <c r="A14" i="16"/>
  <c r="C14" i="16" s="1"/>
  <c r="G13" i="16"/>
  <c r="H13" i="16" s="1"/>
  <c r="A13" i="16"/>
  <c r="C13" i="16" s="1"/>
  <c r="H12" i="16"/>
  <c r="G12" i="16"/>
  <c r="A12" i="16"/>
  <c r="C12" i="16" s="1"/>
  <c r="H11" i="16"/>
  <c r="G11" i="16"/>
  <c r="A11" i="16"/>
  <c r="B11" i="16" s="1"/>
  <c r="G10" i="16"/>
  <c r="H10" i="16" s="1"/>
  <c r="A10" i="16"/>
  <c r="C10" i="16" s="1"/>
  <c r="H9" i="16"/>
  <c r="G9" i="16"/>
  <c r="A9" i="16"/>
  <c r="C9" i="16" s="1"/>
  <c r="H8" i="16"/>
  <c r="G8" i="16"/>
  <c r="A8" i="16"/>
  <c r="C8" i="16" s="1"/>
  <c r="G7" i="16"/>
  <c r="H7" i="16" s="1"/>
  <c r="A7" i="16"/>
  <c r="B7" i="16" s="1"/>
  <c r="G6" i="16"/>
  <c r="H6" i="16" s="1"/>
  <c r="A6" i="16"/>
  <c r="C6" i="16" s="1"/>
  <c r="G36" i="15"/>
  <c r="A36" i="15"/>
  <c r="C36" i="15" s="1"/>
  <c r="H35" i="15"/>
  <c r="G35" i="15"/>
  <c r="A35" i="15"/>
  <c r="B35" i="15" s="1"/>
  <c r="H34" i="15"/>
  <c r="G34" i="15"/>
  <c r="A34" i="15"/>
  <c r="B34" i="15" s="1"/>
  <c r="H33" i="15"/>
  <c r="G33" i="15"/>
  <c r="A33" i="15"/>
  <c r="C33" i="15" s="1"/>
  <c r="H32" i="15"/>
  <c r="G32" i="15"/>
  <c r="A32" i="15"/>
  <c r="C32" i="15" s="1"/>
  <c r="H31" i="15"/>
  <c r="G31" i="15"/>
  <c r="A31" i="15"/>
  <c r="B31" i="15" s="1"/>
  <c r="H30" i="15"/>
  <c r="G30" i="15"/>
  <c r="A30" i="15"/>
  <c r="B30" i="15" s="1"/>
  <c r="H29" i="15"/>
  <c r="G29" i="15"/>
  <c r="B29" i="15"/>
  <c r="A29" i="15"/>
  <c r="C29" i="15" s="1"/>
  <c r="H28" i="15"/>
  <c r="G28" i="15"/>
  <c r="A28" i="15"/>
  <c r="C28" i="15" s="1"/>
  <c r="H27" i="15"/>
  <c r="G27" i="15"/>
  <c r="A27" i="15"/>
  <c r="B27" i="15" s="1"/>
  <c r="H26" i="15"/>
  <c r="G26" i="15"/>
  <c r="A26" i="15"/>
  <c r="B26" i="15" s="1"/>
  <c r="H25" i="15"/>
  <c r="G25" i="15"/>
  <c r="B25" i="15"/>
  <c r="A25" i="15"/>
  <c r="C25" i="15" s="1"/>
  <c r="H24" i="15"/>
  <c r="G24" i="15"/>
  <c r="A24" i="15"/>
  <c r="C24" i="15" s="1"/>
  <c r="H23" i="15"/>
  <c r="G23" i="15"/>
  <c r="A23" i="15"/>
  <c r="B23" i="15" s="1"/>
  <c r="H22" i="15"/>
  <c r="G22" i="15"/>
  <c r="A22" i="15"/>
  <c r="B22" i="15" s="1"/>
  <c r="H21" i="15"/>
  <c r="G21" i="15"/>
  <c r="A21" i="15"/>
  <c r="C21" i="15" s="1"/>
  <c r="H20" i="15"/>
  <c r="G20" i="15"/>
  <c r="A20" i="15"/>
  <c r="C20" i="15" s="1"/>
  <c r="H19" i="15"/>
  <c r="G19" i="15"/>
  <c r="A19" i="15"/>
  <c r="B19" i="15" s="1"/>
  <c r="H18" i="15"/>
  <c r="G18" i="15"/>
  <c r="A18" i="15"/>
  <c r="B18" i="15" s="1"/>
  <c r="H17" i="15"/>
  <c r="G17" i="15"/>
  <c r="B17" i="15"/>
  <c r="A17" i="15"/>
  <c r="C17" i="15" s="1"/>
  <c r="H16" i="15"/>
  <c r="G16" i="15"/>
  <c r="A16" i="15"/>
  <c r="C16" i="15" s="1"/>
  <c r="H15" i="15"/>
  <c r="G15" i="15"/>
  <c r="A15" i="15"/>
  <c r="B15" i="15" s="1"/>
  <c r="H14" i="15"/>
  <c r="G14" i="15"/>
  <c r="A14" i="15"/>
  <c r="B14" i="15" s="1"/>
  <c r="G13" i="15"/>
  <c r="H13" i="15" s="1"/>
  <c r="A13" i="15"/>
  <c r="B13" i="15" s="1"/>
  <c r="H12" i="15"/>
  <c r="G12" i="15"/>
  <c r="A12" i="15"/>
  <c r="C12" i="15" s="1"/>
  <c r="H11" i="15"/>
  <c r="G11" i="15"/>
  <c r="A11" i="15"/>
  <c r="B11" i="15" s="1"/>
  <c r="G10" i="15"/>
  <c r="H10" i="15" s="1"/>
  <c r="A10" i="15"/>
  <c r="C10" i="15" s="1"/>
  <c r="H9" i="15"/>
  <c r="G9" i="15"/>
  <c r="A9" i="15"/>
  <c r="B9" i="15" s="1"/>
  <c r="H8" i="15"/>
  <c r="G8" i="15"/>
  <c r="A8" i="15"/>
  <c r="C8" i="15" s="1"/>
  <c r="G7" i="15"/>
  <c r="H7" i="15" s="1"/>
  <c r="A7" i="15"/>
  <c r="B7" i="15" s="1"/>
  <c r="G6" i="15"/>
  <c r="H6" i="15" s="1"/>
  <c r="A6" i="15"/>
  <c r="C6" i="15" s="1"/>
  <c r="H35" i="13"/>
  <c r="G35" i="13"/>
  <c r="A35" i="13"/>
  <c r="B35" i="13" s="1"/>
  <c r="H34" i="13"/>
  <c r="G34" i="13"/>
  <c r="A34" i="13"/>
  <c r="C34" i="13" s="1"/>
  <c r="H33" i="13"/>
  <c r="G33" i="13"/>
  <c r="A33" i="13"/>
  <c r="C33" i="13" s="1"/>
  <c r="H32" i="13"/>
  <c r="G32" i="13"/>
  <c r="A32" i="13"/>
  <c r="C32" i="13" s="1"/>
  <c r="H31" i="13"/>
  <c r="G31" i="13"/>
  <c r="A31" i="13"/>
  <c r="C31" i="13" s="1"/>
  <c r="H30" i="13"/>
  <c r="G30" i="13"/>
  <c r="A30" i="13"/>
  <c r="C30" i="13" s="1"/>
  <c r="H29" i="13"/>
  <c r="G29" i="13"/>
  <c r="A29" i="13"/>
  <c r="B29" i="13" s="1"/>
  <c r="H28" i="13"/>
  <c r="G28" i="13"/>
  <c r="A28" i="13"/>
  <c r="C28" i="13" s="1"/>
  <c r="H27" i="13"/>
  <c r="G27" i="13"/>
  <c r="A27" i="13"/>
  <c r="C27" i="13" s="1"/>
  <c r="H26" i="13"/>
  <c r="G26" i="13"/>
  <c r="A26" i="13"/>
  <c r="C26" i="13" s="1"/>
  <c r="H25" i="13"/>
  <c r="G25" i="13"/>
  <c r="A25" i="13"/>
  <c r="B25" i="13" s="1"/>
  <c r="H24" i="13"/>
  <c r="G24" i="13"/>
  <c r="A24" i="13"/>
  <c r="C24" i="13" s="1"/>
  <c r="H23" i="13"/>
  <c r="G23" i="13"/>
  <c r="A23" i="13"/>
  <c r="C23" i="13" s="1"/>
  <c r="H22" i="13"/>
  <c r="G22" i="13"/>
  <c r="A22" i="13"/>
  <c r="C22" i="13" s="1"/>
  <c r="H21" i="13"/>
  <c r="G21" i="13"/>
  <c r="A21" i="13"/>
  <c r="B21" i="13" s="1"/>
  <c r="H20" i="13"/>
  <c r="G20" i="13"/>
  <c r="A20" i="13"/>
  <c r="C20" i="13" s="1"/>
  <c r="H19" i="13"/>
  <c r="G19" i="13"/>
  <c r="A19" i="13"/>
  <c r="C19" i="13" s="1"/>
  <c r="H18" i="13"/>
  <c r="G18" i="13"/>
  <c r="A18" i="13"/>
  <c r="C18" i="13" s="1"/>
  <c r="H17" i="13"/>
  <c r="G17" i="13"/>
  <c r="A17" i="13"/>
  <c r="C17" i="13" s="1"/>
  <c r="H16" i="13"/>
  <c r="G16" i="13"/>
  <c r="A16" i="13"/>
  <c r="C16" i="13" s="1"/>
  <c r="H15" i="13"/>
  <c r="G15" i="13"/>
  <c r="A15" i="13"/>
  <c r="C15" i="13" s="1"/>
  <c r="G14" i="13"/>
  <c r="H14" i="13" s="1"/>
  <c r="A14" i="13"/>
  <c r="C14" i="13" s="1"/>
  <c r="G13" i="13"/>
  <c r="H13" i="13" s="1"/>
  <c r="A13" i="13"/>
  <c r="C13" i="13" s="1"/>
  <c r="H12" i="13"/>
  <c r="G12" i="13"/>
  <c r="A12" i="13"/>
  <c r="B12" i="13" s="1"/>
  <c r="H11" i="13"/>
  <c r="G11" i="13"/>
  <c r="A11" i="13"/>
  <c r="C11" i="13" s="1"/>
  <c r="G10" i="13"/>
  <c r="H10" i="13" s="1"/>
  <c r="A10" i="13"/>
  <c r="C10" i="13" s="1"/>
  <c r="H9" i="13"/>
  <c r="G9" i="13"/>
  <c r="A9" i="13"/>
  <c r="B9" i="13" s="1"/>
  <c r="H8" i="13"/>
  <c r="G8" i="13"/>
  <c r="A8" i="13"/>
  <c r="C8" i="13" s="1"/>
  <c r="G7" i="13"/>
  <c r="H7" i="13" s="1"/>
  <c r="A7" i="13"/>
  <c r="C7" i="13" s="1"/>
  <c r="G6" i="13"/>
  <c r="H6" i="13" s="1"/>
  <c r="A6" i="13"/>
  <c r="C6" i="13" s="1"/>
  <c r="G36" i="12"/>
  <c r="H36" i="12" s="1"/>
  <c r="A36" i="12"/>
  <c r="C36" i="12" s="1"/>
  <c r="H35" i="12"/>
  <c r="G35" i="12"/>
  <c r="A35" i="12"/>
  <c r="B35" i="12" s="1"/>
  <c r="G34" i="12"/>
  <c r="H34" i="12" s="1"/>
  <c r="A34" i="12"/>
  <c r="C34" i="12" s="1"/>
  <c r="G33" i="12"/>
  <c r="H33" i="12" s="1"/>
  <c r="A33" i="12"/>
  <c r="B33" i="12" s="1"/>
  <c r="H32" i="12"/>
  <c r="G32" i="12"/>
  <c r="A32" i="12"/>
  <c r="C32" i="12" s="1"/>
  <c r="H31" i="12"/>
  <c r="G31" i="12"/>
  <c r="A31" i="12"/>
  <c r="C31" i="12" s="1"/>
  <c r="H30" i="12"/>
  <c r="G30" i="12"/>
  <c r="A30" i="12"/>
  <c r="C30" i="12" s="1"/>
  <c r="G29" i="12"/>
  <c r="H29" i="12" s="1"/>
  <c r="A29" i="12"/>
  <c r="B29" i="12" s="1"/>
  <c r="G28" i="12"/>
  <c r="H28" i="12" s="1"/>
  <c r="A28" i="12"/>
  <c r="C28" i="12" s="1"/>
  <c r="H27" i="12"/>
  <c r="G27" i="12"/>
  <c r="A27" i="12"/>
  <c r="B27" i="12" s="1"/>
  <c r="H26" i="12"/>
  <c r="G26" i="12"/>
  <c r="A26" i="12"/>
  <c r="C26" i="12" s="1"/>
  <c r="G25" i="12"/>
  <c r="H25" i="12" s="1"/>
  <c r="A25" i="12"/>
  <c r="B25" i="12" s="1"/>
  <c r="H24" i="12"/>
  <c r="G24" i="12"/>
  <c r="A24" i="12"/>
  <c r="C24" i="12" s="1"/>
  <c r="H23" i="12"/>
  <c r="G23" i="12"/>
  <c r="A23" i="12"/>
  <c r="B23" i="12" s="1"/>
  <c r="G22" i="12"/>
  <c r="H22" i="12" s="1"/>
  <c r="A22" i="12"/>
  <c r="C22" i="12" s="1"/>
  <c r="H21" i="12"/>
  <c r="G21" i="12"/>
  <c r="A21" i="12"/>
  <c r="B21" i="12" s="1"/>
  <c r="G20" i="12"/>
  <c r="H20" i="12" s="1"/>
  <c r="A20" i="12"/>
  <c r="C20" i="12" s="1"/>
  <c r="G19" i="12"/>
  <c r="H19" i="12" s="1"/>
  <c r="A19" i="12"/>
  <c r="C19" i="12" s="1"/>
  <c r="G18" i="12"/>
  <c r="H18" i="12" s="1"/>
  <c r="A18" i="12"/>
  <c r="C18" i="12" s="1"/>
  <c r="H17" i="12"/>
  <c r="G17" i="12"/>
  <c r="A17" i="12"/>
  <c r="B17" i="12" s="1"/>
  <c r="H16" i="12"/>
  <c r="G16" i="12"/>
  <c r="A16" i="12"/>
  <c r="C16" i="12" s="1"/>
  <c r="G15" i="12"/>
  <c r="H15" i="12" s="1"/>
  <c r="A15" i="12"/>
  <c r="C15" i="12" s="1"/>
  <c r="G14" i="12"/>
  <c r="H14" i="12" s="1"/>
  <c r="A14" i="12"/>
  <c r="C14" i="12" s="1"/>
  <c r="G13" i="12"/>
  <c r="H13" i="12" s="1"/>
  <c r="A13" i="12"/>
  <c r="B13" i="12" s="1"/>
  <c r="H12" i="12"/>
  <c r="G12" i="12"/>
  <c r="A12" i="12"/>
  <c r="C12" i="12" s="1"/>
  <c r="G11" i="12"/>
  <c r="H11" i="12" s="1"/>
  <c r="A11" i="12"/>
  <c r="B11" i="12" s="1"/>
  <c r="G10" i="12"/>
  <c r="H10" i="12" s="1"/>
  <c r="A10" i="12"/>
  <c r="C10" i="12" s="1"/>
  <c r="H9" i="12"/>
  <c r="G9" i="12"/>
  <c r="A9" i="12"/>
  <c r="B9" i="12" s="1"/>
  <c r="G8" i="12"/>
  <c r="H8" i="12" s="1"/>
  <c r="A8" i="12"/>
  <c r="C8" i="12" s="1"/>
  <c r="G7" i="12"/>
  <c r="H7" i="12" s="1"/>
  <c r="A7" i="12"/>
  <c r="B7" i="12" s="1"/>
  <c r="G6" i="12"/>
  <c r="H6" i="12" s="1"/>
  <c r="A6" i="12"/>
  <c r="C6" i="12" s="1"/>
  <c r="G36" i="11"/>
  <c r="H36" i="11" s="1"/>
  <c r="A36" i="11"/>
  <c r="C36" i="11" s="1"/>
  <c r="G35" i="11"/>
  <c r="H35" i="11" s="1"/>
  <c r="A35" i="11"/>
  <c r="C35" i="11" s="1"/>
  <c r="H34" i="11"/>
  <c r="G34" i="11"/>
  <c r="A34" i="11"/>
  <c r="B34" i="11" s="1"/>
  <c r="H33" i="11"/>
  <c r="G33" i="11"/>
  <c r="A33" i="11"/>
  <c r="C33" i="11" s="1"/>
  <c r="G32" i="11"/>
  <c r="H32" i="11" s="1"/>
  <c r="A32" i="11"/>
  <c r="C32" i="11" s="1"/>
  <c r="G31" i="11"/>
  <c r="H31" i="11" s="1"/>
  <c r="A31" i="11"/>
  <c r="B31" i="11" s="1"/>
  <c r="G30" i="11"/>
  <c r="H30" i="11" s="1"/>
  <c r="A30" i="11"/>
  <c r="C30" i="11" s="1"/>
  <c r="G29" i="11"/>
  <c r="H29" i="11" s="1"/>
  <c r="A29" i="11"/>
  <c r="C29" i="11" s="1"/>
  <c r="G28" i="11"/>
  <c r="H28" i="11" s="1"/>
  <c r="A28" i="11"/>
  <c r="C28" i="11" s="1"/>
  <c r="H27" i="11"/>
  <c r="G27" i="11"/>
  <c r="A27" i="11"/>
  <c r="B27" i="11" s="1"/>
  <c r="H26" i="11"/>
  <c r="G26" i="11"/>
  <c r="A26" i="11"/>
  <c r="C26" i="11" s="1"/>
  <c r="G25" i="11"/>
  <c r="H25" i="11" s="1"/>
  <c r="A25" i="11"/>
  <c r="C25" i="11" s="1"/>
  <c r="G24" i="11"/>
  <c r="H24" i="11" s="1"/>
  <c r="A24" i="11"/>
  <c r="C24" i="11" s="1"/>
  <c r="G23" i="11"/>
  <c r="H23" i="11" s="1"/>
  <c r="A23" i="11"/>
  <c r="B23" i="11" s="1"/>
  <c r="G22" i="11"/>
  <c r="H22" i="11" s="1"/>
  <c r="A22" i="11"/>
  <c r="C22" i="11" s="1"/>
  <c r="G21" i="11"/>
  <c r="H21" i="11" s="1"/>
  <c r="A21" i="11"/>
  <c r="C21" i="11" s="1"/>
  <c r="H20" i="11"/>
  <c r="G20" i="11"/>
  <c r="A20" i="11"/>
  <c r="C20" i="11" s="1"/>
  <c r="H19" i="11"/>
  <c r="G19" i="11"/>
  <c r="A19" i="11"/>
  <c r="B19" i="11" s="1"/>
  <c r="G18" i="11"/>
  <c r="H18" i="11" s="1"/>
  <c r="A18" i="11"/>
  <c r="C18" i="11" s="1"/>
  <c r="G17" i="11"/>
  <c r="H17" i="11" s="1"/>
  <c r="A17" i="11"/>
  <c r="C17" i="11" s="1"/>
  <c r="G16" i="11"/>
  <c r="H16" i="11" s="1"/>
  <c r="A16" i="11"/>
  <c r="C16" i="11" s="1"/>
  <c r="G15" i="11"/>
  <c r="H15" i="11" s="1"/>
  <c r="A15" i="11"/>
  <c r="B15" i="11" s="1"/>
  <c r="G14" i="11"/>
  <c r="H14" i="11" s="1"/>
  <c r="C14" i="11"/>
  <c r="A14" i="11"/>
  <c r="B14" i="11" s="1"/>
  <c r="H13" i="11"/>
  <c r="G13" i="11"/>
  <c r="A13" i="11"/>
  <c r="C13" i="11" s="1"/>
  <c r="H12" i="11"/>
  <c r="G12" i="11"/>
  <c r="A12" i="11"/>
  <c r="C12" i="11" s="1"/>
  <c r="G11" i="11"/>
  <c r="H11" i="11" s="1"/>
  <c r="A11" i="11"/>
  <c r="B11" i="11" s="1"/>
  <c r="G10" i="11"/>
  <c r="H10" i="11" s="1"/>
  <c r="A10" i="11"/>
  <c r="B10" i="11" s="1"/>
  <c r="H9" i="11"/>
  <c r="G9" i="11"/>
  <c r="A9" i="11"/>
  <c r="C9" i="11" s="1"/>
  <c r="G8" i="11"/>
  <c r="H8" i="11" s="1"/>
  <c r="A8" i="11"/>
  <c r="C8" i="11" s="1"/>
  <c r="G7" i="11"/>
  <c r="H7" i="11" s="1"/>
  <c r="C7" i="11"/>
  <c r="B7" i="11"/>
  <c r="A7" i="11"/>
  <c r="G6" i="11"/>
  <c r="H6" i="11" s="1"/>
  <c r="C6" i="11"/>
  <c r="B6" i="11"/>
  <c r="A6" i="11"/>
  <c r="C15" i="11" l="1"/>
  <c r="B18" i="11"/>
  <c r="B22" i="11"/>
  <c r="B7" i="13"/>
  <c r="B8" i="13"/>
  <c r="B21" i="15"/>
  <c r="B33" i="15"/>
  <c r="C11" i="16"/>
  <c r="B12" i="16"/>
  <c r="B34" i="12"/>
  <c r="C15" i="16"/>
  <c r="B11" i="13"/>
  <c r="C12" i="13"/>
  <c r="C24" i="16"/>
  <c r="C10" i="11"/>
  <c r="C11" i="11"/>
  <c r="B26" i="11"/>
  <c r="B30" i="11"/>
  <c r="C34" i="11"/>
  <c r="B6" i="12"/>
  <c r="C9" i="12"/>
  <c r="B10" i="12"/>
  <c r="C13" i="12"/>
  <c r="B14" i="12"/>
  <c r="C17" i="12"/>
  <c r="B18" i="12"/>
  <c r="C21" i="12"/>
  <c r="B22" i="12"/>
  <c r="C25" i="12"/>
  <c r="B26" i="12"/>
  <c r="C29" i="12"/>
  <c r="B30" i="12"/>
  <c r="C33" i="12"/>
  <c r="C31" i="16"/>
  <c r="B32" i="16"/>
  <c r="C6" i="17"/>
  <c r="B7" i="17"/>
  <c r="C23" i="16"/>
  <c r="H38" i="16"/>
  <c r="B8" i="16"/>
  <c r="C20" i="16"/>
  <c r="H38" i="17"/>
  <c r="B21" i="17"/>
  <c r="B9" i="17"/>
  <c r="B13" i="17"/>
  <c r="C14" i="17"/>
  <c r="B15" i="17"/>
  <c r="C17" i="17"/>
  <c r="C18" i="17"/>
  <c r="B19" i="17"/>
  <c r="C22" i="17"/>
  <c r="B23" i="17"/>
  <c r="C25" i="17"/>
  <c r="C26" i="17"/>
  <c r="B27" i="17"/>
  <c r="C29" i="17"/>
  <c r="C30" i="17"/>
  <c r="B31" i="17"/>
  <c r="C33" i="17"/>
  <c r="C34" i="17"/>
  <c r="B35" i="17"/>
  <c r="C10" i="17"/>
  <c r="B11" i="17"/>
  <c r="C8" i="17"/>
  <c r="C12" i="17"/>
  <c r="C16" i="17"/>
  <c r="C20" i="17"/>
  <c r="C24" i="17"/>
  <c r="C28" i="17"/>
  <c r="C32" i="17"/>
  <c r="C36" i="17"/>
  <c r="H38" i="12"/>
  <c r="C7" i="16"/>
  <c r="C27" i="16"/>
  <c r="B28" i="16"/>
  <c r="C19" i="16"/>
  <c r="C35" i="16"/>
  <c r="B9" i="16"/>
  <c r="B13" i="16"/>
  <c r="B17" i="16"/>
  <c r="B21" i="16"/>
  <c r="B25" i="16"/>
  <c r="B29" i="16"/>
  <c r="B33" i="16"/>
  <c r="B6" i="16"/>
  <c r="B10" i="16"/>
  <c r="B14" i="16"/>
  <c r="B18" i="16"/>
  <c r="B22" i="16"/>
  <c r="B26" i="16"/>
  <c r="B30" i="16"/>
  <c r="B34" i="16"/>
  <c r="B6" i="15"/>
  <c r="C9" i="15"/>
  <c r="B10" i="15"/>
  <c r="C13" i="15"/>
  <c r="C14" i="15"/>
  <c r="C18" i="15"/>
  <c r="C22" i="15"/>
  <c r="C26" i="15"/>
  <c r="C30" i="15"/>
  <c r="C34" i="15"/>
  <c r="H38" i="15"/>
  <c r="C7" i="15"/>
  <c r="B8" i="15"/>
  <c r="C11" i="15"/>
  <c r="B12" i="15"/>
  <c r="C15" i="15"/>
  <c r="B16" i="15"/>
  <c r="C19" i="15"/>
  <c r="B20" i="15"/>
  <c r="C23" i="15"/>
  <c r="B24" i="15"/>
  <c r="C27" i="15"/>
  <c r="B28" i="15"/>
  <c r="C31" i="15"/>
  <c r="B32" i="15"/>
  <c r="C35" i="15"/>
  <c r="B36" i="15"/>
  <c r="B15" i="13"/>
  <c r="B19" i="13"/>
  <c r="B23" i="13"/>
  <c r="B27" i="13"/>
  <c r="B31" i="13"/>
  <c r="C35" i="13"/>
  <c r="B16" i="13"/>
  <c r="B20" i="13"/>
  <c r="B24" i="13"/>
  <c r="B28" i="13"/>
  <c r="B32" i="13"/>
  <c r="B15" i="12"/>
  <c r="B19" i="12"/>
  <c r="B31" i="12"/>
  <c r="C7" i="12"/>
  <c r="B8" i="12"/>
  <c r="C11" i="12"/>
  <c r="B12" i="12"/>
  <c r="B16" i="12"/>
  <c r="B20" i="12"/>
  <c r="C23" i="12"/>
  <c r="B24" i="12"/>
  <c r="C27" i="12"/>
  <c r="B28" i="12"/>
  <c r="B32" i="12"/>
  <c r="C35" i="12"/>
  <c r="B36" i="12"/>
  <c r="H38" i="13"/>
  <c r="B13" i="13"/>
  <c r="B17" i="13"/>
  <c r="B33" i="13"/>
  <c r="B6" i="13"/>
  <c r="C9" i="13"/>
  <c r="B10" i="13"/>
  <c r="B14" i="13"/>
  <c r="B18" i="13"/>
  <c r="C21" i="13"/>
  <c r="B22" i="13"/>
  <c r="C25" i="13"/>
  <c r="B26" i="13"/>
  <c r="C29" i="13"/>
  <c r="B30" i="13"/>
  <c r="B34" i="13"/>
  <c r="H38" i="11"/>
  <c r="B16" i="11"/>
  <c r="C19" i="11"/>
  <c r="B20" i="11"/>
  <c r="B28" i="11"/>
  <c r="B32" i="11"/>
  <c r="B8" i="11"/>
  <c r="B12" i="11"/>
  <c r="C23" i="11"/>
  <c r="B24" i="11"/>
  <c r="C27" i="11"/>
  <c r="C31" i="11"/>
  <c r="B35" i="11"/>
  <c r="B36" i="11"/>
  <c r="B9" i="11"/>
  <c r="B13" i="11"/>
  <c r="B17" i="11"/>
  <c r="B21" i="11"/>
  <c r="B25" i="11"/>
  <c r="B29" i="11"/>
  <c r="B33" i="11"/>
  <c r="H35" i="10"/>
  <c r="G35" i="10"/>
  <c r="A35" i="10"/>
  <c r="B35" i="10" s="1"/>
  <c r="G34" i="10"/>
  <c r="H34" i="10" s="1"/>
  <c r="A34" i="10"/>
  <c r="C34" i="10" s="1"/>
  <c r="G33" i="10"/>
  <c r="H33" i="10" s="1"/>
  <c r="A33" i="10"/>
  <c r="B33" i="10" s="1"/>
  <c r="G32" i="10"/>
  <c r="H32" i="10" s="1"/>
  <c r="A32" i="10"/>
  <c r="B32" i="10" s="1"/>
  <c r="G31" i="10"/>
  <c r="H31" i="10" s="1"/>
  <c r="A31" i="10"/>
  <c r="B31" i="10" s="1"/>
  <c r="G30" i="10"/>
  <c r="H30" i="10" s="1"/>
  <c r="A30" i="10"/>
  <c r="C30" i="10" s="1"/>
  <c r="H29" i="10"/>
  <c r="G29" i="10"/>
  <c r="A29" i="10"/>
  <c r="B29" i="10" s="1"/>
  <c r="H28" i="10"/>
  <c r="G28" i="10"/>
  <c r="A28" i="10"/>
  <c r="B28" i="10" s="1"/>
  <c r="G27" i="10"/>
  <c r="H27" i="10" s="1"/>
  <c r="A27" i="10"/>
  <c r="B27" i="10" s="1"/>
  <c r="G26" i="10"/>
  <c r="H26" i="10" s="1"/>
  <c r="A26" i="10"/>
  <c r="C26" i="10" s="1"/>
  <c r="G25" i="10"/>
  <c r="H25" i="10" s="1"/>
  <c r="A25" i="10"/>
  <c r="C25" i="10" s="1"/>
  <c r="G24" i="10"/>
  <c r="H24" i="10" s="1"/>
  <c r="A24" i="10"/>
  <c r="B24" i="10" s="1"/>
  <c r="H23" i="10"/>
  <c r="G23" i="10"/>
  <c r="A23" i="10"/>
  <c r="B23" i="10" s="1"/>
  <c r="H22" i="10"/>
  <c r="G22" i="10"/>
  <c r="A22" i="10"/>
  <c r="C22" i="10" s="1"/>
  <c r="H21" i="10"/>
  <c r="G21" i="10"/>
  <c r="A21" i="10"/>
  <c r="C21" i="10" s="1"/>
  <c r="G20" i="10"/>
  <c r="H20" i="10" s="1"/>
  <c r="A20" i="10"/>
  <c r="B20" i="10" s="1"/>
  <c r="G19" i="10"/>
  <c r="H19" i="10" s="1"/>
  <c r="A19" i="10"/>
  <c r="B19" i="10" s="1"/>
  <c r="G18" i="10"/>
  <c r="H18" i="10" s="1"/>
  <c r="A18" i="10"/>
  <c r="C18" i="10" s="1"/>
  <c r="G17" i="10"/>
  <c r="H17" i="10" s="1"/>
  <c r="A17" i="10"/>
  <c r="B17" i="10" s="1"/>
  <c r="H16" i="10"/>
  <c r="G16" i="10"/>
  <c r="A16" i="10"/>
  <c r="B16" i="10" s="1"/>
  <c r="H15" i="10"/>
  <c r="G15" i="10"/>
  <c r="A15" i="10"/>
  <c r="B15" i="10" s="1"/>
  <c r="H14" i="10"/>
  <c r="G14" i="10"/>
  <c r="A14" i="10"/>
  <c r="C14" i="10" s="1"/>
  <c r="G13" i="10"/>
  <c r="H13" i="10" s="1"/>
  <c r="A13" i="10"/>
  <c r="C13" i="10" s="1"/>
  <c r="G12" i="10"/>
  <c r="H12" i="10" s="1"/>
  <c r="A12" i="10"/>
  <c r="C12" i="10" s="1"/>
  <c r="G11" i="10"/>
  <c r="H11" i="10" s="1"/>
  <c r="A11" i="10"/>
  <c r="B11" i="10" s="1"/>
  <c r="G10" i="10"/>
  <c r="H10" i="10" s="1"/>
  <c r="A10" i="10"/>
  <c r="C10" i="10" s="1"/>
  <c r="G9" i="10"/>
  <c r="H9" i="10" s="1"/>
  <c r="A9" i="10"/>
  <c r="C9" i="10" s="1"/>
  <c r="H8" i="10"/>
  <c r="G8" i="10"/>
  <c r="A8" i="10"/>
  <c r="B8" i="10" s="1"/>
  <c r="G7" i="10"/>
  <c r="H7" i="10" s="1"/>
  <c r="A7" i="10"/>
  <c r="B7" i="10" s="1"/>
  <c r="G6" i="10"/>
  <c r="H6" i="10" s="1"/>
  <c r="A6" i="10"/>
  <c r="C6" i="10" s="1"/>
  <c r="C8" i="10" l="1"/>
  <c r="C24" i="10"/>
  <c r="C11" i="10"/>
  <c r="B12" i="10"/>
  <c r="B25" i="10"/>
  <c r="C29" i="10"/>
  <c r="C17" i="10"/>
  <c r="C28" i="10"/>
  <c r="C33" i="10"/>
  <c r="C7" i="10"/>
  <c r="B9" i="10"/>
  <c r="B13" i="10"/>
  <c r="C20" i="10"/>
  <c r="B21" i="10"/>
  <c r="C16" i="10"/>
  <c r="C32" i="10"/>
  <c r="H38" i="10"/>
  <c r="C15" i="10"/>
  <c r="C19" i="10"/>
  <c r="C23" i="10"/>
  <c r="C27" i="10"/>
  <c r="C31" i="10"/>
  <c r="C35" i="10"/>
  <c r="B14" i="10"/>
  <c r="B18" i="10"/>
  <c r="B22" i="10"/>
  <c r="B26" i="10"/>
  <c r="B30" i="10"/>
  <c r="B34" i="10"/>
  <c r="B6" i="10"/>
  <c r="B10" i="10"/>
  <c r="G16" i="7"/>
  <c r="G36" i="7" l="1"/>
  <c r="H36" i="7" s="1"/>
  <c r="A36" i="7"/>
  <c r="C36" i="7" s="1"/>
  <c r="G35" i="7"/>
  <c r="H35" i="7" s="1"/>
  <c r="A35" i="7"/>
  <c r="C35" i="7" s="1"/>
  <c r="G34" i="7"/>
  <c r="H34" i="7" s="1"/>
  <c r="A34" i="7"/>
  <c r="B34" i="7" s="1"/>
  <c r="G33" i="7"/>
  <c r="H33" i="7" s="1"/>
  <c r="A33" i="7"/>
  <c r="B33" i="7" s="1"/>
  <c r="H32" i="7"/>
  <c r="G32" i="7"/>
  <c r="A32" i="7"/>
  <c r="C32" i="7" s="1"/>
  <c r="H31" i="7"/>
  <c r="G31" i="7"/>
  <c r="A31" i="7"/>
  <c r="C31" i="7" s="1"/>
  <c r="G30" i="7"/>
  <c r="H30" i="7" s="1"/>
  <c r="A30" i="7"/>
  <c r="B30" i="7" s="1"/>
  <c r="G29" i="7"/>
  <c r="H29" i="7" s="1"/>
  <c r="A29" i="7"/>
  <c r="B29" i="7" s="1"/>
  <c r="G28" i="7"/>
  <c r="H28" i="7" s="1"/>
  <c r="A28" i="7"/>
  <c r="C28" i="7" s="1"/>
  <c r="G27" i="7"/>
  <c r="H27" i="7" s="1"/>
  <c r="A27" i="7"/>
  <c r="C27" i="7" s="1"/>
  <c r="G26" i="7"/>
  <c r="H26" i="7" s="1"/>
  <c r="A26" i="7"/>
  <c r="B26" i="7" s="1"/>
  <c r="H25" i="7"/>
  <c r="G25" i="7"/>
  <c r="A25" i="7"/>
  <c r="B25" i="7" s="1"/>
  <c r="H24" i="7"/>
  <c r="G24" i="7"/>
  <c r="A24" i="7"/>
  <c r="C24" i="7" s="1"/>
  <c r="G23" i="7"/>
  <c r="H23" i="7" s="1"/>
  <c r="A23" i="7"/>
  <c r="C23" i="7" s="1"/>
  <c r="G22" i="7"/>
  <c r="H22" i="7" s="1"/>
  <c r="A22" i="7"/>
  <c r="C22" i="7" s="1"/>
  <c r="G21" i="7"/>
  <c r="H21" i="7" s="1"/>
  <c r="A21" i="7"/>
  <c r="B21" i="7" s="1"/>
  <c r="G20" i="7"/>
  <c r="H20" i="7" s="1"/>
  <c r="A20" i="7"/>
  <c r="C20" i="7" s="1"/>
  <c r="G19" i="7"/>
  <c r="H19" i="7" s="1"/>
  <c r="A19" i="7"/>
  <c r="C19" i="7" s="1"/>
  <c r="H18" i="7"/>
  <c r="G18" i="7"/>
  <c r="A18" i="7"/>
  <c r="B18" i="7" s="1"/>
  <c r="H17" i="7"/>
  <c r="G17" i="7"/>
  <c r="A17" i="7"/>
  <c r="B17" i="7" s="1"/>
  <c r="H16" i="7"/>
  <c r="A16" i="7"/>
  <c r="C16" i="7" s="1"/>
  <c r="G15" i="7"/>
  <c r="H15" i="7" s="1"/>
  <c r="A15" i="7"/>
  <c r="C15" i="7" s="1"/>
  <c r="G14" i="7"/>
  <c r="H14" i="7" s="1"/>
  <c r="A14" i="7"/>
  <c r="C14" i="7" s="1"/>
  <c r="G13" i="7"/>
  <c r="H13" i="7" s="1"/>
  <c r="A13" i="7"/>
  <c r="B13" i="7" s="1"/>
  <c r="G12" i="7"/>
  <c r="H12" i="7" s="1"/>
  <c r="A12" i="7"/>
  <c r="C12" i="7" s="1"/>
  <c r="H11" i="7"/>
  <c r="G11" i="7"/>
  <c r="A11" i="7"/>
  <c r="C11" i="7" s="1"/>
  <c r="G10" i="7"/>
  <c r="H10" i="7" s="1"/>
  <c r="C10" i="7"/>
  <c r="A10" i="7"/>
  <c r="B10" i="7" s="1"/>
  <c r="H9" i="7"/>
  <c r="G9" i="7"/>
  <c r="A9" i="7"/>
  <c r="B9" i="7" s="1"/>
  <c r="H8" i="7"/>
  <c r="G8" i="7"/>
  <c r="A8" i="7"/>
  <c r="C8" i="7" s="1"/>
  <c r="H7" i="7"/>
  <c r="G7" i="7"/>
  <c r="A7" i="7"/>
  <c r="C7" i="7" s="1"/>
  <c r="G6" i="7"/>
  <c r="H6" i="7" s="1"/>
  <c r="A6" i="7"/>
  <c r="B6" i="7" s="1"/>
  <c r="C30" i="7" l="1"/>
  <c r="C26" i="7"/>
  <c r="B14" i="7"/>
  <c r="C25" i="7"/>
  <c r="C6" i="7"/>
  <c r="C9" i="7"/>
  <c r="C18" i="7"/>
  <c r="C29" i="7"/>
  <c r="C34" i="7"/>
  <c r="C13" i="7"/>
  <c r="C21" i="7"/>
  <c r="B22" i="7"/>
  <c r="C17" i="7"/>
  <c r="C33" i="7"/>
  <c r="H38" i="7"/>
  <c r="B7" i="7"/>
  <c r="B11" i="7"/>
  <c r="B15" i="7"/>
  <c r="B19" i="7"/>
  <c r="B23" i="7"/>
  <c r="B27" i="7"/>
  <c r="B31" i="7"/>
  <c r="B35" i="7"/>
  <c r="B8" i="7"/>
  <c r="B12" i="7"/>
  <c r="B16" i="7"/>
  <c r="B20" i="7"/>
  <c r="B24" i="7"/>
  <c r="B28" i="7"/>
  <c r="B32" i="7"/>
  <c r="B36" i="7"/>
  <c r="A7" i="6"/>
  <c r="B7" i="6" s="1"/>
  <c r="A8" i="6"/>
  <c r="A9" i="6"/>
  <c r="B9" i="6" s="1"/>
  <c r="A10" i="6"/>
  <c r="B10" i="6" s="1"/>
  <c r="A11" i="6"/>
  <c r="A12" i="6"/>
  <c r="A13" i="6"/>
  <c r="B13" i="6" s="1"/>
  <c r="A14" i="6"/>
  <c r="B14" i="6" s="1"/>
  <c r="A15" i="6"/>
  <c r="B15" i="6" s="1"/>
  <c r="A16" i="6"/>
  <c r="A17" i="6"/>
  <c r="B17" i="6" s="1"/>
  <c r="A18" i="6"/>
  <c r="B18" i="6" s="1"/>
  <c r="A19" i="6"/>
  <c r="B19" i="6" s="1"/>
  <c r="A20" i="6"/>
  <c r="A21" i="6"/>
  <c r="A22" i="6"/>
  <c r="B22" i="6" s="1"/>
  <c r="A23" i="6"/>
  <c r="B23" i="6" s="1"/>
  <c r="A24" i="6"/>
  <c r="A25" i="6"/>
  <c r="B25" i="6" s="1"/>
  <c r="A26" i="6"/>
  <c r="B26" i="6" s="1"/>
  <c r="A27" i="6"/>
  <c r="A28" i="6"/>
  <c r="A29" i="6"/>
  <c r="B29" i="6" s="1"/>
  <c r="A30" i="6"/>
  <c r="B30" i="6" s="1"/>
  <c r="A31" i="6"/>
  <c r="B31" i="6" s="1"/>
  <c r="A32" i="6"/>
  <c r="A33" i="6"/>
  <c r="A34" i="6"/>
  <c r="B34" i="6" s="1"/>
  <c r="A35" i="6"/>
  <c r="A36" i="6"/>
  <c r="B8" i="6"/>
  <c r="B11" i="6"/>
  <c r="B12" i="6"/>
  <c r="B16" i="6"/>
  <c r="B20" i="6"/>
  <c r="B24" i="6"/>
  <c r="B27" i="6"/>
  <c r="B28" i="6"/>
  <c r="B32" i="6"/>
  <c r="B35" i="6"/>
  <c r="B36" i="6"/>
  <c r="B21" i="6"/>
  <c r="B33" i="6"/>
  <c r="C7" i="6"/>
  <c r="C8" i="6"/>
  <c r="C9" i="6"/>
  <c r="C11" i="6"/>
  <c r="C12" i="6"/>
  <c r="C13" i="6"/>
  <c r="C15" i="6"/>
  <c r="C16" i="6"/>
  <c r="C17" i="6"/>
  <c r="C19" i="6"/>
  <c r="C20" i="6"/>
  <c r="C21" i="6"/>
  <c r="C23" i="6"/>
  <c r="C24" i="6"/>
  <c r="C25" i="6"/>
  <c r="C27" i="6"/>
  <c r="C28" i="6"/>
  <c r="C29" i="6"/>
  <c r="C31" i="6"/>
  <c r="C32" i="6"/>
  <c r="C33" i="6"/>
  <c r="C35" i="6"/>
  <c r="C36" i="6"/>
  <c r="G36" i="6"/>
  <c r="H35" i="6"/>
  <c r="G35" i="6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G14" i="6"/>
  <c r="H14" i="6" s="1"/>
  <c r="H13" i="6"/>
  <c r="G13" i="6"/>
  <c r="H12" i="6"/>
  <c r="G12" i="6"/>
  <c r="H11" i="6"/>
  <c r="G11" i="6"/>
  <c r="G10" i="6"/>
  <c r="H10" i="6" s="1"/>
  <c r="H9" i="6"/>
  <c r="G9" i="6"/>
  <c r="H8" i="6"/>
  <c r="G8" i="6"/>
  <c r="G7" i="6"/>
  <c r="H7" i="6" s="1"/>
  <c r="G6" i="6"/>
  <c r="H6" i="6" s="1"/>
  <c r="A6" i="6"/>
  <c r="B6" i="6" s="1"/>
  <c r="C34" i="6" l="1"/>
  <c r="C30" i="6"/>
  <c r="C26" i="6"/>
  <c r="C22" i="6"/>
  <c r="C18" i="6"/>
  <c r="C14" i="6"/>
  <c r="C10" i="6"/>
  <c r="C6" i="6"/>
  <c r="H38" i="6"/>
  <c r="G36" i="5"/>
  <c r="H35" i="5"/>
  <c r="G35" i="5"/>
  <c r="A35" i="5"/>
  <c r="B35" i="5" s="1"/>
  <c r="H34" i="5"/>
  <c r="G34" i="5"/>
  <c r="A34" i="5"/>
  <c r="B34" i="5" s="1"/>
  <c r="H33" i="5"/>
  <c r="G33" i="5"/>
  <c r="A33" i="5"/>
  <c r="B33" i="5" s="1"/>
  <c r="G32" i="5"/>
  <c r="H32" i="5" s="1"/>
  <c r="A32" i="5"/>
  <c r="B32" i="5" s="1"/>
  <c r="G31" i="5"/>
  <c r="H31" i="5" s="1"/>
  <c r="A31" i="5"/>
  <c r="B31" i="5" s="1"/>
  <c r="G30" i="5"/>
  <c r="H30" i="5" s="1"/>
  <c r="A30" i="5"/>
  <c r="B30" i="5" s="1"/>
  <c r="G29" i="5"/>
  <c r="H29" i="5" s="1"/>
  <c r="A29" i="5"/>
  <c r="B29" i="5" s="1"/>
  <c r="G28" i="5"/>
  <c r="H28" i="5" s="1"/>
  <c r="A28" i="5"/>
  <c r="B28" i="5" s="1"/>
  <c r="H27" i="5"/>
  <c r="G27" i="5"/>
  <c r="A27" i="5"/>
  <c r="B27" i="5" s="1"/>
  <c r="H26" i="5"/>
  <c r="G26" i="5"/>
  <c r="A26" i="5"/>
  <c r="B26" i="5" s="1"/>
  <c r="G25" i="5"/>
  <c r="H25" i="5" s="1"/>
  <c r="A25" i="5"/>
  <c r="B25" i="5" s="1"/>
  <c r="G24" i="5"/>
  <c r="H24" i="5" s="1"/>
  <c r="A24" i="5"/>
  <c r="B24" i="5" s="1"/>
  <c r="G23" i="5"/>
  <c r="H23" i="5" s="1"/>
  <c r="A23" i="5"/>
  <c r="B23" i="5" s="1"/>
  <c r="G22" i="5"/>
  <c r="H22" i="5" s="1"/>
  <c r="A22" i="5"/>
  <c r="B22" i="5" s="1"/>
  <c r="G21" i="5"/>
  <c r="H21" i="5" s="1"/>
  <c r="A21" i="5"/>
  <c r="B21" i="5" s="1"/>
  <c r="H20" i="5"/>
  <c r="G20" i="5"/>
  <c r="A20" i="5"/>
  <c r="B20" i="5" s="1"/>
  <c r="H19" i="5"/>
  <c r="G19" i="5"/>
  <c r="A19" i="5"/>
  <c r="B19" i="5" s="1"/>
  <c r="G18" i="5"/>
  <c r="H18" i="5" s="1"/>
  <c r="A18" i="5"/>
  <c r="B18" i="5" s="1"/>
  <c r="G17" i="5"/>
  <c r="H17" i="5" s="1"/>
  <c r="A17" i="5"/>
  <c r="B17" i="5" s="1"/>
  <c r="G16" i="5"/>
  <c r="H16" i="5" s="1"/>
  <c r="A16" i="5"/>
  <c r="B16" i="5" s="1"/>
  <c r="G15" i="5"/>
  <c r="H15" i="5" s="1"/>
  <c r="A15" i="5"/>
  <c r="B15" i="5" s="1"/>
  <c r="G14" i="5"/>
  <c r="H14" i="5" s="1"/>
  <c r="A14" i="5"/>
  <c r="B14" i="5" s="1"/>
  <c r="H13" i="5"/>
  <c r="G13" i="5"/>
  <c r="A13" i="5"/>
  <c r="B13" i="5" s="1"/>
  <c r="H12" i="5"/>
  <c r="G12" i="5"/>
  <c r="A12" i="5"/>
  <c r="B12" i="5" s="1"/>
  <c r="G11" i="5"/>
  <c r="H11" i="5" s="1"/>
  <c r="A11" i="5"/>
  <c r="B11" i="5" s="1"/>
  <c r="G10" i="5"/>
  <c r="H10" i="5" s="1"/>
  <c r="A10" i="5"/>
  <c r="B10" i="5" s="1"/>
  <c r="G9" i="5"/>
  <c r="H9" i="5" s="1"/>
  <c r="A9" i="5"/>
  <c r="B9" i="5" s="1"/>
  <c r="G8" i="5"/>
  <c r="H8" i="5" s="1"/>
  <c r="A8" i="5"/>
  <c r="B8" i="5" s="1"/>
  <c r="G7" i="5"/>
  <c r="H7" i="5" s="1"/>
  <c r="A7" i="5"/>
  <c r="B7" i="5" s="1"/>
  <c r="H6" i="5"/>
  <c r="G6" i="5"/>
  <c r="A6" i="5"/>
  <c r="B6" i="5" s="1"/>
  <c r="H38" i="5" l="1"/>
  <c r="G36" i="4" l="1"/>
  <c r="A36" i="4"/>
  <c r="B36" i="4" s="1"/>
  <c r="G35" i="4"/>
  <c r="H35" i="4" s="1"/>
  <c r="A35" i="4"/>
  <c r="B35" i="4" s="1"/>
  <c r="G34" i="4"/>
  <c r="H34" i="4" s="1"/>
  <c r="A34" i="4"/>
  <c r="B34" i="4" s="1"/>
  <c r="G33" i="4"/>
  <c r="H33" i="4" s="1"/>
  <c r="A33" i="4"/>
  <c r="B33" i="4" s="1"/>
  <c r="G32" i="4"/>
  <c r="H32" i="4" s="1"/>
  <c r="A32" i="4"/>
  <c r="B32" i="4" s="1"/>
  <c r="G31" i="4"/>
  <c r="H31" i="4" s="1"/>
  <c r="A31" i="4"/>
  <c r="B31" i="4" s="1"/>
  <c r="H30" i="4"/>
  <c r="G30" i="4"/>
  <c r="A30" i="4"/>
  <c r="B30" i="4" s="1"/>
  <c r="H29" i="4"/>
  <c r="G29" i="4"/>
  <c r="A29" i="4"/>
  <c r="B29" i="4" s="1"/>
  <c r="G28" i="4"/>
  <c r="H28" i="4" s="1"/>
  <c r="A28" i="4"/>
  <c r="B28" i="4" s="1"/>
  <c r="G27" i="4"/>
  <c r="H27" i="4" s="1"/>
  <c r="A27" i="4"/>
  <c r="B27" i="4" s="1"/>
  <c r="G26" i="4"/>
  <c r="H26" i="4" s="1"/>
  <c r="A26" i="4"/>
  <c r="B26" i="4" s="1"/>
  <c r="G25" i="4"/>
  <c r="H25" i="4" s="1"/>
  <c r="A25" i="4"/>
  <c r="B25" i="4" s="1"/>
  <c r="G24" i="4"/>
  <c r="H24" i="4" s="1"/>
  <c r="A24" i="4"/>
  <c r="B24" i="4" s="1"/>
  <c r="H23" i="4"/>
  <c r="G23" i="4"/>
  <c r="A23" i="4"/>
  <c r="B23" i="4" s="1"/>
  <c r="H22" i="4"/>
  <c r="G22" i="4"/>
  <c r="A22" i="4"/>
  <c r="B22" i="4" s="1"/>
  <c r="G21" i="4"/>
  <c r="H21" i="4" s="1"/>
  <c r="A21" i="4"/>
  <c r="B21" i="4" s="1"/>
  <c r="G20" i="4"/>
  <c r="H20" i="4" s="1"/>
  <c r="A20" i="4"/>
  <c r="B20" i="4" s="1"/>
  <c r="G19" i="4"/>
  <c r="H19" i="4" s="1"/>
  <c r="A19" i="4"/>
  <c r="B19" i="4" s="1"/>
  <c r="G18" i="4"/>
  <c r="H18" i="4" s="1"/>
  <c r="A18" i="4"/>
  <c r="B18" i="4" s="1"/>
  <c r="G17" i="4"/>
  <c r="H17" i="4" s="1"/>
  <c r="A17" i="4"/>
  <c r="B17" i="4" s="1"/>
  <c r="H16" i="4"/>
  <c r="G16" i="4"/>
  <c r="A16" i="4"/>
  <c r="B16" i="4" s="1"/>
  <c r="H15" i="4"/>
  <c r="G15" i="4"/>
  <c r="A15" i="4"/>
  <c r="B15" i="4" s="1"/>
  <c r="G14" i="4"/>
  <c r="H14" i="4" s="1"/>
  <c r="A14" i="4"/>
  <c r="B14" i="4" s="1"/>
  <c r="G13" i="4"/>
  <c r="H13" i="4" s="1"/>
  <c r="A13" i="4"/>
  <c r="B13" i="4" s="1"/>
  <c r="G12" i="4"/>
  <c r="H12" i="4" s="1"/>
  <c r="A12" i="4"/>
  <c r="B12" i="4" s="1"/>
  <c r="G11" i="4"/>
  <c r="H11" i="4" s="1"/>
  <c r="A11" i="4"/>
  <c r="B11" i="4" s="1"/>
  <c r="G10" i="4"/>
  <c r="H10" i="4" s="1"/>
  <c r="A10" i="4"/>
  <c r="B10" i="4" s="1"/>
  <c r="H9" i="4"/>
  <c r="G9" i="4"/>
  <c r="A9" i="4"/>
  <c r="B9" i="4" s="1"/>
  <c r="H8" i="4"/>
  <c r="G8" i="4"/>
  <c r="A8" i="4"/>
  <c r="B8" i="4" s="1"/>
  <c r="G7" i="4"/>
  <c r="H7" i="4" s="1"/>
  <c r="A7" i="4"/>
  <c r="B7" i="4" s="1"/>
  <c r="G6" i="4"/>
  <c r="H6" i="4" s="1"/>
  <c r="A6" i="4"/>
  <c r="B6" i="4" s="1"/>
  <c r="H38" i="4" l="1"/>
  <c r="A17" i="1"/>
  <c r="A18" i="1"/>
  <c r="A19" i="1"/>
  <c r="A20" i="1"/>
  <c r="A21" i="1"/>
  <c r="A22" i="1"/>
  <c r="A23" i="1"/>
  <c r="A24" i="1"/>
  <c r="A25" i="1"/>
  <c r="A26" i="1"/>
  <c r="G10" i="2" l="1"/>
  <c r="H10" i="2" s="1"/>
  <c r="G11" i="2"/>
  <c r="G12" i="2"/>
  <c r="G13" i="2"/>
  <c r="H13" i="2" s="1"/>
  <c r="G14" i="2"/>
  <c r="G15" i="2"/>
  <c r="H15" i="2" s="1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7" i="2"/>
  <c r="H7" i="2" s="1"/>
  <c r="G8" i="2"/>
  <c r="G9" i="2"/>
  <c r="A36" i="2"/>
  <c r="B36" i="2" s="1"/>
  <c r="H35" i="2"/>
  <c r="A35" i="2"/>
  <c r="B35" i="2" s="1"/>
  <c r="H34" i="2"/>
  <c r="A34" i="2"/>
  <c r="B34" i="2" s="1"/>
  <c r="H33" i="2"/>
  <c r="A33" i="2"/>
  <c r="B33" i="2" s="1"/>
  <c r="H32" i="2"/>
  <c r="A32" i="2"/>
  <c r="B32" i="2" s="1"/>
  <c r="H31" i="2"/>
  <c r="A31" i="2"/>
  <c r="B31" i="2" s="1"/>
  <c r="H30" i="2"/>
  <c r="A30" i="2"/>
  <c r="B30" i="2" s="1"/>
  <c r="H29" i="2"/>
  <c r="B29" i="2"/>
  <c r="A29" i="2"/>
  <c r="H28" i="2"/>
  <c r="A28" i="2"/>
  <c r="B28" i="2" s="1"/>
  <c r="H27" i="2"/>
  <c r="A27" i="2"/>
  <c r="B27" i="2" s="1"/>
  <c r="H26" i="2"/>
  <c r="A26" i="2"/>
  <c r="B26" i="2" s="1"/>
  <c r="H25" i="2"/>
  <c r="A25" i="2"/>
  <c r="B25" i="2" s="1"/>
  <c r="H24" i="2"/>
  <c r="A24" i="2"/>
  <c r="B24" i="2" s="1"/>
  <c r="H23" i="2"/>
  <c r="A23" i="2"/>
  <c r="B23" i="2" s="1"/>
  <c r="H22" i="2"/>
  <c r="A22" i="2"/>
  <c r="B22" i="2" s="1"/>
  <c r="H21" i="2"/>
  <c r="A21" i="2"/>
  <c r="B21" i="2" s="1"/>
  <c r="H20" i="2"/>
  <c r="A20" i="2"/>
  <c r="B20" i="2" s="1"/>
  <c r="H19" i="2"/>
  <c r="A19" i="2"/>
  <c r="B19" i="2" s="1"/>
  <c r="H18" i="2"/>
  <c r="A18" i="2"/>
  <c r="B18" i="2" s="1"/>
  <c r="H17" i="2"/>
  <c r="A17" i="2"/>
  <c r="B17" i="2" s="1"/>
  <c r="H16" i="2"/>
  <c r="A16" i="2"/>
  <c r="B16" i="2" s="1"/>
  <c r="A15" i="2"/>
  <c r="B15" i="2" s="1"/>
  <c r="H14" i="2"/>
  <c r="A14" i="2"/>
  <c r="B14" i="2" s="1"/>
  <c r="A13" i="2"/>
  <c r="B13" i="2" s="1"/>
  <c r="H12" i="2"/>
  <c r="A12" i="2"/>
  <c r="B12" i="2" s="1"/>
  <c r="H11" i="2"/>
  <c r="A11" i="2"/>
  <c r="B11" i="2" s="1"/>
  <c r="A10" i="2"/>
  <c r="B10" i="2" s="1"/>
  <c r="H9" i="2"/>
  <c r="A9" i="2"/>
  <c r="B9" i="2" s="1"/>
  <c r="H8" i="2"/>
  <c r="A8" i="2"/>
  <c r="B8" i="2" s="1"/>
  <c r="A7" i="2"/>
  <c r="B7" i="2" s="1"/>
  <c r="G6" i="2"/>
  <c r="H6" i="2" s="1"/>
  <c r="A6" i="2"/>
  <c r="B6" i="2" s="1"/>
  <c r="A6" i="1"/>
  <c r="H8" i="1"/>
  <c r="H9" i="1"/>
  <c r="H11" i="1"/>
  <c r="H12" i="1"/>
  <c r="H15" i="1"/>
  <c r="H16" i="1"/>
  <c r="H29" i="1"/>
  <c r="H30" i="1"/>
  <c r="H34" i="1"/>
  <c r="H35" i="1"/>
  <c r="H18" i="1"/>
  <c r="H19" i="1"/>
  <c r="H20" i="1"/>
  <c r="H22" i="1"/>
  <c r="H23" i="1"/>
  <c r="H17" i="1"/>
  <c r="A36" i="1"/>
  <c r="B36" i="1" s="1"/>
  <c r="A35" i="1"/>
  <c r="B35" i="1" s="1"/>
  <c r="A34" i="1"/>
  <c r="B34" i="1" s="1"/>
  <c r="A33" i="1"/>
  <c r="B33" i="1" s="1"/>
  <c r="A32" i="1"/>
  <c r="B32" i="1" s="1"/>
  <c r="A31" i="1"/>
  <c r="B31" i="1" s="1"/>
  <c r="A30" i="1"/>
  <c r="B30" i="1" s="1"/>
  <c r="A29" i="1"/>
  <c r="B29" i="1" s="1"/>
  <c r="A28" i="1"/>
  <c r="B28" i="1" s="1"/>
  <c r="A27" i="1"/>
  <c r="B27" i="1" s="1"/>
  <c r="B26" i="1"/>
  <c r="B25" i="1"/>
  <c r="B24" i="1"/>
  <c r="B23" i="1"/>
  <c r="B22" i="1"/>
  <c r="B21" i="1"/>
  <c r="B20" i="1"/>
  <c r="B19" i="1"/>
  <c r="B18" i="1"/>
  <c r="B17" i="1"/>
  <c r="A16" i="1"/>
  <c r="B16" i="1" s="1"/>
  <c r="A15" i="1"/>
  <c r="B15" i="1" s="1"/>
  <c r="A14" i="1"/>
  <c r="B14" i="1" s="1"/>
  <c r="A13" i="1"/>
  <c r="B13" i="1" s="1"/>
  <c r="A12" i="1"/>
  <c r="B12" i="1" s="1"/>
  <c r="A11" i="1"/>
  <c r="B11" i="1" s="1"/>
  <c r="A10" i="1"/>
  <c r="B10" i="1" s="1"/>
  <c r="A9" i="1"/>
  <c r="B9" i="1" s="1"/>
  <c r="A8" i="1"/>
  <c r="B8" i="1" s="1"/>
  <c r="A7" i="1"/>
  <c r="B7" i="1" s="1"/>
  <c r="B6" i="1"/>
  <c r="H38" i="2" l="1"/>
  <c r="G35" i="1"/>
  <c r="G34" i="1"/>
  <c r="G33" i="1"/>
  <c r="H33" i="1" s="1"/>
  <c r="G32" i="1"/>
  <c r="H32" i="1" s="1"/>
  <c r="G31" i="1"/>
  <c r="H31" i="1" s="1"/>
  <c r="G28" i="1"/>
  <c r="H28" i="1" s="1"/>
  <c r="G27" i="1"/>
  <c r="H27" i="1" s="1"/>
  <c r="G26" i="1"/>
  <c r="H26" i="1" s="1"/>
  <c r="G25" i="1"/>
  <c r="H25" i="1" s="1"/>
  <c r="G24" i="1"/>
  <c r="H24" i="1" s="1"/>
  <c r="G10" i="1"/>
  <c r="H10" i="1" s="1"/>
  <c r="G13" i="1"/>
  <c r="H13" i="1" s="1"/>
  <c r="G14" i="1"/>
  <c r="H14" i="1" s="1"/>
  <c r="G17" i="1"/>
  <c r="G18" i="1"/>
  <c r="G19" i="1"/>
  <c r="G20" i="1"/>
  <c r="G21" i="1"/>
  <c r="H21" i="1" s="1"/>
  <c r="G7" i="1"/>
  <c r="H7" i="1" s="1"/>
  <c r="G6" i="1"/>
  <c r="H6" i="1" s="1"/>
  <c r="H38" i="1" l="1"/>
</calcChain>
</file>

<file path=xl/sharedStrings.xml><?xml version="1.0" encoding="utf-8"?>
<sst xmlns="http://schemas.openxmlformats.org/spreadsheetml/2006/main" count="373" uniqueCount="154">
  <si>
    <t>開始</t>
    <rPh sb="0" eb="2">
      <t>カイシ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</si>
  <si>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</si>
  <si>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</si>
  <si>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勤務時間</t>
    <rPh sb="0" eb="2">
      <t>キンム</t>
    </rPh>
    <rPh sb="2" eb="4">
      <t>ジカン</t>
    </rPh>
    <phoneticPr fontId="1"/>
  </si>
  <si>
    <t>拘束時間</t>
    <rPh sb="0" eb="2">
      <t>コウソク</t>
    </rPh>
    <rPh sb="2" eb="4">
      <t>ジカン</t>
    </rPh>
    <phoneticPr fontId="1"/>
  </si>
  <si>
    <t>CEILING (D6, "0:15")</t>
    <phoneticPr fontId="1"/>
  </si>
  <si>
    <t>月</t>
    <rPh sb="0" eb="1">
      <t>ゲツ</t>
    </rPh>
    <phoneticPr fontId="1"/>
  </si>
  <si>
    <t>火</t>
  </si>
  <si>
    <t>水</t>
  </si>
  <si>
    <t>木</t>
  </si>
  <si>
    <t>金</t>
  </si>
  <si>
    <t>土</t>
  </si>
  <si>
    <t>日</t>
  </si>
  <si>
    <t>環境設定　ツールインストール　エクリプス</t>
    <rPh sb="0" eb="2">
      <t>カンキョウ</t>
    </rPh>
    <rPh sb="2" eb="4">
      <t>セッテイ</t>
    </rPh>
    <phoneticPr fontId="1"/>
  </si>
  <si>
    <t>関数一覧　レファレンス一覧読解　@@@list:database @@@  動作確認</t>
    <rPh sb="0" eb="2">
      <t>カンスウ</t>
    </rPh>
    <rPh sb="2" eb="4">
      <t>イチラン</t>
    </rPh>
    <rPh sb="11" eb="13">
      <t>イチラン</t>
    </rPh>
    <rPh sb="13" eb="15">
      <t>ドッカイ</t>
    </rPh>
    <rPh sb="38" eb="40">
      <t>ドウサ</t>
    </rPh>
    <rPh sb="40" eb="42">
      <t>カクニン</t>
    </rPh>
    <phoneticPr fontId="1"/>
  </si>
  <si>
    <t>サポートサイトの説明、内容閲覧、　　サポート部署の説明1.5h　v922　インストール</t>
    <rPh sb="8" eb="10">
      <t>セツメイ</t>
    </rPh>
    <rPh sb="11" eb="13">
      <t>ナイヨウ</t>
    </rPh>
    <rPh sb="13" eb="15">
      <t>エツラン</t>
    </rPh>
    <rPh sb="22" eb="24">
      <t>ブショ</t>
    </rPh>
    <rPh sb="25" eb="27">
      <t>セツメイ</t>
    </rPh>
    <phoneticPr fontId="1"/>
  </si>
  <si>
    <t>v917 v1004 インストール　2次サポート技術向上_結果　no6 
15:00 - 18:00 CMS操作の講習</t>
    <rPh sb="19" eb="20">
      <t>ジ</t>
    </rPh>
    <rPh sb="24" eb="26">
      <t>ギジュツ</t>
    </rPh>
    <rPh sb="26" eb="28">
      <t>コウジョウ</t>
    </rPh>
    <rPh sb="29" eb="31">
      <t>ケッカ</t>
    </rPh>
    <phoneticPr fontId="1"/>
  </si>
  <si>
    <t>年</t>
    <rPh sb="0" eb="1">
      <t>ネン</t>
    </rPh>
    <phoneticPr fontId="1"/>
  </si>
  <si>
    <t>月</t>
    <rPh sb="0" eb="1">
      <t>ツキ</t>
    </rPh>
    <phoneticPr fontId="1"/>
  </si>
  <si>
    <t>木</t>
    <phoneticPr fontId="1"/>
  </si>
  <si>
    <t>13:00 - 18:00 CMS操作の講習  メール閲覧</t>
    <rPh sb="27" eb="29">
      <t>エツラン</t>
    </rPh>
    <phoneticPr fontId="1"/>
  </si>
  <si>
    <t>祝日</t>
    <rPh sb="0" eb="2">
      <t>シュクジツ</t>
    </rPh>
    <phoneticPr fontId="1"/>
  </si>
  <si>
    <t>インフル</t>
    <phoneticPr fontId="1"/>
  </si>
  <si>
    <t>会社研修休み</t>
    <rPh sb="0" eb="2">
      <t>カイシャ</t>
    </rPh>
    <rPh sb="2" eb="4">
      <t>ケンシュウ</t>
    </rPh>
    <rPh sb="4" eb="5">
      <t>ヤス</t>
    </rPh>
    <phoneticPr fontId="1"/>
  </si>
  <si>
    <t>サポート参照、github登録1h</t>
    <rPh sb="4" eb="6">
      <t>サンショウ</t>
    </rPh>
    <rPh sb="13" eb="15">
      <t>トウロク</t>
    </rPh>
    <phoneticPr fontId="1"/>
  </si>
  <si>
    <t>zipupload 調査</t>
    <rPh sb="10" eb="12">
      <t>チョウサ</t>
    </rPh>
    <phoneticPr fontId="1"/>
  </si>
  <si>
    <t>webeditor brがされない　調査</t>
    <rPh sb="18" eb="20">
      <t>チョウサ</t>
    </rPh>
    <phoneticPr fontId="1"/>
  </si>
  <si>
    <t>cxm環境設定　　webeditor brがされない　調査続き　電車遅延   gulpインストール</t>
    <rPh sb="3" eb="5">
      <t>カンキョウ</t>
    </rPh>
    <rPh sb="5" eb="7">
      <t>セッテイ</t>
    </rPh>
    <rPh sb="29" eb="30">
      <t>ツヅ</t>
    </rPh>
    <phoneticPr fontId="1"/>
  </si>
  <si>
    <t>パッチ作成　過去ファイル差分　確認　webeditor brがされない    id8253</t>
    <rPh sb="3" eb="5">
      <t>サクセイ</t>
    </rPh>
    <rPh sb="6" eb="8">
      <t>カコ</t>
    </rPh>
    <rPh sb="12" eb="14">
      <t>サブン</t>
    </rPh>
    <rPh sb="15" eb="17">
      <t>カクニン</t>
    </rPh>
    <phoneticPr fontId="1"/>
  </si>
  <si>
    <t>cxm環境設定　　mariadb　インストール　サポートサイト閲覧     id8253</t>
    <rPh sb="3" eb="5">
      <t>カンキョウ</t>
    </rPh>
    <rPh sb="5" eb="7">
      <t>セッテイ</t>
    </rPh>
    <rPh sb="31" eb="33">
      <t>エツラン</t>
    </rPh>
    <phoneticPr fontId="1"/>
  </si>
  <si>
    <t xml:space="preserve"> id8253 webeditor パッチ作成、v913環境作成　動かない　buildバッチ修正しないとだめだった</t>
    <rPh sb="21" eb="23">
      <t>サクセイ</t>
    </rPh>
    <rPh sb="28" eb="30">
      <t>カンキョウ</t>
    </rPh>
    <rPh sb="30" eb="32">
      <t>サクセイ</t>
    </rPh>
    <rPh sb="33" eb="34">
      <t>ウゴ</t>
    </rPh>
    <rPh sb="46" eb="48">
      <t>シュウセイ</t>
    </rPh>
    <phoneticPr fontId="1"/>
  </si>
  <si>
    <t xml:space="preserve"> id8253 SD-5606　修正対応、patch作成 　stringBuilder化　id8387　パスワード暗号化　対応　同一文字複数　引数の文字数多い少ない場合　記号の場合</t>
    <rPh sb="43" eb="44">
      <t>カ</t>
    </rPh>
    <rPh sb="57" eb="60">
      <t>アンゴウカ</t>
    </rPh>
    <rPh sb="61" eb="63">
      <t>タイオウ</t>
    </rPh>
    <rPh sb="64" eb="66">
      <t>ドウイツ</t>
    </rPh>
    <rPh sb="66" eb="68">
      <t>モジ</t>
    </rPh>
    <rPh sb="68" eb="70">
      <t>フクスウ</t>
    </rPh>
    <rPh sb="71" eb="73">
      <t>ヒキスウ</t>
    </rPh>
    <rPh sb="74" eb="77">
      <t>モジスウ</t>
    </rPh>
    <rPh sb="77" eb="78">
      <t>オオ</t>
    </rPh>
    <rPh sb="79" eb="80">
      <t>スク</t>
    </rPh>
    <rPh sb="82" eb="84">
      <t>バアイ</t>
    </rPh>
    <rPh sb="85" eb="87">
      <t>キゴウ</t>
    </rPh>
    <rPh sb="88" eb="90">
      <t>バアイ</t>
    </rPh>
    <phoneticPr fontId="1"/>
  </si>
  <si>
    <t>id8387 パスワード暗号化  id8253 SD-5606 wyiwyg 対応</t>
    <rPh sb="39" eb="41">
      <t>タイオウ</t>
    </rPh>
    <phoneticPr fontId="1"/>
  </si>
  <si>
    <t>id8433　web解析ログ調査　where in 句     10.0.4 インストール　エラーになってた</t>
    <rPh sb="10" eb="12">
      <t>カイセキ</t>
    </rPh>
    <rPh sb="14" eb="16">
      <t>チョウサ</t>
    </rPh>
    <rPh sb="26" eb="27">
      <t>ク</t>
    </rPh>
    <phoneticPr fontId="1"/>
  </si>
  <si>
    <t>id8403 zipupload エラーになる　　　　10.0.4 インストール　エラーになってた</t>
    <phoneticPr fontId="1"/>
  </si>
  <si>
    <t>id8400 contenttype keyword をpageに出さないようにしたい。過去履歴参照        電車遅延</t>
    <rPh sb="33" eb="34">
      <t>ダ</t>
    </rPh>
    <rPh sb="44" eb="46">
      <t>カコ</t>
    </rPh>
    <rPh sb="46" eb="48">
      <t>リレキ</t>
    </rPh>
    <rPh sb="48" eb="50">
      <t>サンショウ</t>
    </rPh>
    <rPh sb="58" eb="60">
      <t>デンシャ</t>
    </rPh>
    <rPh sb="60" eb="62">
      <t>チエン</t>
    </rPh>
    <phoneticPr fontId="1"/>
  </si>
  <si>
    <t>id8253　マージ2回目　id8287　マージしようとしたがdb.　Commom　の書き方が違う　ｖ9.2.2.1　とv10.x</t>
    <rPh sb="11" eb="13">
      <t>カイメ</t>
    </rPh>
    <rPh sb="43" eb="44">
      <t>カ</t>
    </rPh>
    <rPh sb="45" eb="46">
      <t>カタ</t>
    </rPh>
    <rPh sb="47" eb="48">
      <t>チガ</t>
    </rPh>
    <phoneticPr fontId="1"/>
  </si>
  <si>
    <t>id8253　マージ3回目　id8433 デバッグ　in句1000件　　id8287　マージ対応</t>
    <rPh sb="11" eb="13">
      <t>カイメ</t>
    </rPh>
    <rPh sb="28" eb="29">
      <t>ク</t>
    </rPh>
    <rPh sb="33" eb="34">
      <t>ケン</t>
    </rPh>
    <rPh sb="46" eb="48">
      <t>タイオウ</t>
    </rPh>
    <phoneticPr fontId="1"/>
  </si>
  <si>
    <t>id8287　マージ対応 　usernameも￥出なければ再現しない</t>
    <rPh sb="24" eb="25">
      <t>デ</t>
    </rPh>
    <rPh sb="29" eb="31">
      <t>サイゲン</t>
    </rPh>
    <phoneticPr fontId="1"/>
  </si>
  <si>
    <t>id8287　マージ対応 　レビュー</t>
    <phoneticPr fontId="1"/>
  </si>
  <si>
    <t>id8468　sitemap　url最後[/]が入る。</t>
    <rPh sb="18" eb="20">
      <t>サイゴ</t>
    </rPh>
    <rPh sb="24" eb="25">
      <t>ハイ</t>
    </rPh>
    <phoneticPr fontId="1"/>
  </si>
  <si>
    <t>1004　環境構築　extension test</t>
    <rPh sb="5" eb="7">
      <t>カンキョウ</t>
    </rPh>
    <rPh sb="7" eb="9">
      <t>コウチク</t>
    </rPh>
    <phoneticPr fontId="1"/>
  </si>
  <si>
    <t>8085 8449 レビューア　田辺さん　スケジュールで公開されない 15分　　id8287　マージ対応　資生堂対応を追加</t>
    <rPh sb="16" eb="18">
      <t>タナベ</t>
    </rPh>
    <rPh sb="28" eb="30">
      <t>コウカイ</t>
    </rPh>
    <rPh sb="37" eb="38">
      <t>フン</t>
    </rPh>
    <rPh sb="53" eb="56">
      <t>シセイドウ</t>
    </rPh>
    <rPh sb="56" eb="58">
      <t>タイオウ</t>
    </rPh>
    <rPh sb="59" eb="61">
      <t>ツイカ</t>
    </rPh>
    <phoneticPr fontId="1"/>
  </si>
  <si>
    <t>id:8433 末尾/　if文削除で出力させない、サンプル検証、8490　カレンダーでない日立</t>
    <rPh sb="8" eb="10">
      <t>マツビ</t>
    </rPh>
    <rPh sb="14" eb="15">
      <t>ブン</t>
    </rPh>
    <rPh sb="15" eb="17">
      <t>サクジョ</t>
    </rPh>
    <rPh sb="18" eb="20">
      <t>シュツリョク</t>
    </rPh>
    <rPh sb="29" eb="31">
      <t>ケンショウ</t>
    </rPh>
    <rPh sb="45" eb="47">
      <t>ヒタチ</t>
    </rPh>
    <phoneticPr fontId="1"/>
  </si>
  <si>
    <t xml:space="preserve">id:8519 condition </t>
    <phoneticPr fontId="1"/>
  </si>
  <si>
    <t>id 8519　 condition　=? だと検索　どちらもtrueになる。　　Id　8537　依存関係でイメージ、どのページからも使用されていない画像の一覧</t>
    <rPh sb="24" eb="26">
      <t>ケンサク</t>
    </rPh>
    <rPh sb="49" eb="51">
      <t>イゾン</t>
    </rPh>
    <rPh sb="51" eb="53">
      <t>カンケイ</t>
    </rPh>
    <rPh sb="67" eb="69">
      <t>シヨウ</t>
    </rPh>
    <rPh sb="75" eb="77">
      <t>ガゾウ</t>
    </rPh>
    <rPh sb="78" eb="80">
      <t>イチランケンサクイゾンカンケイ</t>
    </rPh>
    <phoneticPr fontId="1"/>
  </si>
  <si>
    <t>Id　8537　依存関係でイメージ、どのページからも使用されていない画像の一覧 dependence テーブル調査</t>
    <rPh sb="55" eb="57">
      <t>チョウサ</t>
    </rPh>
    <phoneticPr fontId="1"/>
  </si>
  <si>
    <t>id　8543　meta_info  @　（　＜　エスケープ　page.java</t>
    <phoneticPr fontId="1"/>
  </si>
  <si>
    <t>id　8500 対応</t>
    <rPh sb="8" eb="10">
      <t>タイオウ</t>
    </rPh>
    <phoneticPr fontId="1"/>
  </si>
  <si>
    <t>体調不良</t>
    <rPh sb="0" eb="2">
      <t>タイチョウ</t>
    </rPh>
    <rPh sb="2" eb="4">
      <t>フリョウ</t>
    </rPh>
    <phoneticPr fontId="1"/>
  </si>
  <si>
    <r>
      <t xml:space="preserve">8567 urlpathQuery  </t>
    </r>
    <r>
      <rPr>
        <sz val="10"/>
        <color rgb="FF000000"/>
        <rFont val="ＭＳ Ｐゴシック"/>
        <family val="3"/>
        <charset val="128"/>
      </rPr>
      <t>はずれる</t>
    </r>
    <phoneticPr fontId="1"/>
  </si>
  <si>
    <t>8591 search.jsp  のメタ検索結果</t>
    <rPh sb="20" eb="22">
      <t>ケンサク</t>
    </rPh>
    <rPh sb="22" eb="24">
      <t>ケッカ</t>
    </rPh>
    <phoneticPr fontId="1"/>
  </si>
  <si>
    <t>8643  アップロードサイズ　swf   　8567　?a=1&amp;b=2 消える &amp;以降消える</t>
    <rPh sb="37" eb="38">
      <t>キ</t>
    </rPh>
    <rPh sb="42" eb="44">
      <t>イコウ</t>
    </rPh>
    <rPh sb="44" eb="45">
      <t>キ</t>
    </rPh>
    <phoneticPr fontId="1"/>
  </si>
  <si>
    <t>8567　?a=1&amp;b=2 消える &amp;以降消える　をpagejavaカスタマイズ　8643対応　ヒープ問い合わせ対応</t>
    <rPh sb="51" eb="52">
      <t>ト</t>
    </rPh>
    <rPh sb="53" eb="54">
      <t>ア</t>
    </rPh>
    <rPh sb="56" eb="58">
      <t>タイオウ</t>
    </rPh>
    <phoneticPr fontId="1"/>
  </si>
  <si>
    <t>search.jsp  パラメータの件</t>
    <rPh sb="18" eb="19">
      <t>ケン</t>
    </rPh>
    <phoneticPr fontId="1"/>
  </si>
  <si>
    <t>8627　スーパーユーザで統計解析押すとメール通知される　</t>
    <rPh sb="13" eb="15">
      <t>トウケイ</t>
    </rPh>
    <rPh sb="15" eb="17">
      <t>カイセキ</t>
    </rPh>
    <rPh sb="17" eb="18">
      <t>オ</t>
    </rPh>
    <rPh sb="23" eb="25">
      <t>ツウチ</t>
    </rPh>
    <phoneticPr fontId="1"/>
  </si>
  <si>
    <r>
      <rPr>
        <sz val="10"/>
        <color rgb="FF000000"/>
        <rFont val="ＭＳ ゴシック"/>
        <family val="2"/>
        <charset val="128"/>
      </rPr>
      <t>インポートエクスポート　したデータ　オプション消える　</t>
    </r>
    <r>
      <rPr>
        <sz val="10"/>
        <color rgb="FF000000"/>
        <rFont val="Roboto Medium"/>
        <family val="2"/>
      </rPr>
      <t>8670</t>
    </r>
    <rPh sb="23" eb="24">
      <t>キ</t>
    </rPh>
    <phoneticPr fontId="1"/>
  </si>
  <si>
    <t>8670 DB オプション消える、webeditor、</t>
    <rPh sb="13" eb="14">
      <t>キ</t>
    </rPh>
    <phoneticPr fontId="1"/>
  </si>
  <si>
    <t>祝日</t>
    <rPh sb="0" eb="2">
      <t>シュクジツ</t>
    </rPh>
    <phoneticPr fontId="1"/>
  </si>
  <si>
    <t>8670 DB オプション消える　6h、</t>
    <rPh sb="13" eb="14">
      <t>キ</t>
    </rPh>
    <phoneticPr fontId="1"/>
  </si>
  <si>
    <t xml:space="preserve">8684　静的ファイル.lock filenotException </t>
    <rPh sb="5" eb="7">
      <t>セイテキ</t>
    </rPh>
    <phoneticPr fontId="1"/>
  </si>
  <si>
    <t>健康診断　休み</t>
    <rPh sb="0" eb="2">
      <t>ケンコウ</t>
    </rPh>
    <rPh sb="2" eb="4">
      <t>シンダン</t>
    </rPh>
    <rPh sb="5" eb="6">
      <t>ヤス</t>
    </rPh>
    <phoneticPr fontId="1"/>
  </si>
  <si>
    <t>8693_公開_webadmin_published</t>
    <rPh sb="5" eb="7">
      <t>コウカイ</t>
    </rPh>
    <phoneticPr fontId="1"/>
  </si>
  <si>
    <t xml:space="preserve">8670 DB オプション消える、
8693_公開_webadmin_published　
8620ユーザの選択削除の仕様について　パッチ作成
</t>
    <rPh sb="13" eb="14">
      <t>キ</t>
    </rPh>
    <rPh sb="69" eb="71">
      <t>サクセイ</t>
    </rPh>
    <phoneticPr fontId="1"/>
  </si>
  <si>
    <t>8620ユーザの選択削除の仕様について　レビュー後　session改ざん判明</t>
    <rPh sb="24" eb="25">
      <t>ゴ</t>
    </rPh>
    <rPh sb="33" eb="34">
      <t>カイ</t>
    </rPh>
    <rPh sb="36" eb="38">
      <t>ハンメイ</t>
    </rPh>
    <phoneticPr fontId="1"/>
  </si>
  <si>
    <t>8718_@@@日付／時間のカラムformat=%Y-%m-%d@@@）　8620　説明対応</t>
    <rPh sb="42" eb="44">
      <t>セツメイ</t>
    </rPh>
    <rPh sb="44" eb="46">
      <t>タイオウ</t>
    </rPh>
    <phoneticPr fontId="1"/>
  </si>
  <si>
    <t>8620　UK環境えび取り　wyswyg　8670 DB オプション消える　8253 wyswyg 3h</t>
    <rPh sb="7" eb="9">
      <t>カンキョウ</t>
    </rPh>
    <rPh sb="11" eb="12">
      <t>ト</t>
    </rPh>
    <phoneticPr fontId="1"/>
  </si>
  <si>
    <t>8707非公開でフォルダー削除されない</t>
    <rPh sb="4" eb="5">
      <t>ヒ</t>
    </rPh>
    <rPh sb="5" eb="7">
      <t>コウカイ</t>
    </rPh>
    <rPh sb="13" eb="15">
      <t>サクジョ</t>
    </rPh>
    <phoneticPr fontId="1"/>
  </si>
  <si>
    <t>8707非公開でフォルダー削除されない　　　8627送信されるメールについて</t>
    <rPh sb="4" eb="5">
      <t>ヒ</t>
    </rPh>
    <rPh sb="5" eb="7">
      <t>コウカイ</t>
    </rPh>
    <rPh sb="13" eb="15">
      <t>サクジョ</t>
    </rPh>
    <phoneticPr fontId="1"/>
  </si>
  <si>
    <t>8766　一覧画面で更新ファイルのステータスが「新規」と表示される　2h  8707 index.jsp 消えないパッチ作成　6ｈ</t>
    <rPh sb="53" eb="54">
      <t>キ</t>
    </rPh>
    <rPh sb="60" eb="62">
      <t>サクセイ</t>
    </rPh>
    <phoneticPr fontId="1"/>
  </si>
  <si>
    <t>私用　全休</t>
    <rPh sb="0" eb="2">
      <t>シヨウ</t>
    </rPh>
    <rPh sb="3" eb="5">
      <t>ゼンキュウ</t>
    </rPh>
    <phoneticPr fontId="1"/>
  </si>
  <si>
    <t>8707　レビュー　修正</t>
    <rPh sb="10" eb="12">
      <t>シュウセイ</t>
    </rPh>
    <phoneticPr fontId="1"/>
  </si>
  <si>
    <t>8707非公開でフォルダー削除されない</t>
    <phoneticPr fontId="1"/>
  </si>
  <si>
    <t>8707　影響調査、文面作成　3h　8766　ステータス新規になる</t>
    <rPh sb="5" eb="7">
      <t>エイキョウ</t>
    </rPh>
    <rPh sb="7" eb="9">
      <t>チョウサ</t>
    </rPh>
    <rPh sb="10" eb="12">
      <t>ブンメン</t>
    </rPh>
    <rPh sb="12" eb="14">
      <t>サクセイ</t>
    </rPh>
    <rPh sb="28" eb="30">
      <t>シンキ</t>
    </rPh>
    <phoneticPr fontId="1"/>
  </si>
  <si>
    <t>8620　レビュー　ユーザー削除出力されない　patch作成</t>
    <rPh sb="14" eb="16">
      <t>サクジョ</t>
    </rPh>
    <rPh sb="16" eb="18">
      <t>シュツリョク</t>
    </rPh>
    <rPh sb="28" eb="30">
      <t>サクセイ</t>
    </rPh>
    <phoneticPr fontId="1"/>
  </si>
  <si>
    <t>8707　パッチ作成3回目</t>
    <rPh sb="8" eb="10">
      <t>サクセイ</t>
    </rPh>
    <rPh sb="11" eb="13">
      <t>カイメ</t>
    </rPh>
    <phoneticPr fontId="1"/>
  </si>
  <si>
    <t>8766　ステータス新規になる　8620　レビュー　ユーザー削除出力されない    体調不良</t>
    <rPh sb="30" eb="32">
      <t>サクジョ</t>
    </rPh>
    <rPh sb="32" eb="34">
      <t>シュツリョク</t>
    </rPh>
    <rPh sb="42" eb="44">
      <t>タイチョウ</t>
    </rPh>
    <rPh sb="44" eb="46">
      <t>フリョウ</t>
    </rPh>
    <phoneticPr fontId="1"/>
  </si>
  <si>
    <t>8707　影響範囲調査</t>
    <rPh sb="5" eb="7">
      <t>エイキョウ</t>
    </rPh>
    <rPh sb="7" eb="9">
      <t>ハンイ</t>
    </rPh>
    <rPh sb="9" eb="11">
      <t>チョウサ</t>
    </rPh>
    <phoneticPr fontId="1"/>
  </si>
  <si>
    <t>8826　500万件問い合わせ</t>
    <rPh sb="8" eb="10">
      <t>マンケン</t>
    </rPh>
    <rPh sb="10" eb="11">
      <t>ト</t>
    </rPh>
    <rPh sb="12" eb="13">
      <t>ア</t>
    </rPh>
    <phoneticPr fontId="1"/>
  </si>
  <si>
    <t>8253　webeditor</t>
    <phoneticPr fontId="1"/>
  </si>
  <si>
    <t>8253　webeditor　　8847　　SSOシングルサインオン</t>
    <phoneticPr fontId="1"/>
  </si>
  <si>
    <t>8840	 MySQLへの接続数が異常に増加する事象について</t>
    <phoneticPr fontId="1"/>
  </si>
  <si>
    <t>8840 に対応の過去ログ見た1658、2918、4164東芝　6995_good コネクション</t>
    <rPh sb="6" eb="8">
      <t>タイオウ</t>
    </rPh>
    <rPh sb="9" eb="11">
      <t>カコ</t>
    </rPh>
    <rPh sb="13" eb="14">
      <t>ミ</t>
    </rPh>
    <rPh sb="29" eb="31">
      <t>トウシバ</t>
    </rPh>
    <phoneticPr fontId="1"/>
  </si>
  <si>
    <t>8840　　　8766</t>
    <phoneticPr fontId="1"/>
  </si>
  <si>
    <t>昼12:30から　13:30 -15:45 退席（2：15マイナス）　8826   19:45まではたらいた　1：45プラス</t>
    <rPh sb="0" eb="1">
      <t>ヒル</t>
    </rPh>
    <rPh sb="22" eb="24">
      <t>タイセキ</t>
    </rPh>
    <phoneticPr fontId="1"/>
  </si>
  <si>
    <t>　30分マイナスする  19:30まではたらいた   8826 大量データ</t>
    <rPh sb="3" eb="4">
      <t>フン</t>
    </rPh>
    <rPh sb="32" eb="34">
      <t>タイリョウ</t>
    </rPh>
    <phoneticPr fontId="1"/>
  </si>
  <si>
    <t xml:space="preserve">  8826 200万件インサート　大量データ</t>
    <rPh sb="10" eb="12">
      <t>マンケン</t>
    </rPh>
    <phoneticPr fontId="1"/>
  </si>
  <si>
    <t xml:space="preserve">  8826 200万件インサート　大量データ　UK　#1返答</t>
    <rPh sb="10" eb="12">
      <t>マンケン</t>
    </rPh>
    <rPh sb="29" eb="31">
      <t>ヘントウ</t>
    </rPh>
    <phoneticPr fontId="1"/>
  </si>
  <si>
    <t xml:space="preserve">  8826 大量データ　UK　#2　再編成　dependencies　　　（２）6263秒</t>
    <rPh sb="19" eb="22">
      <t>サイヘンセイ</t>
    </rPh>
    <rPh sb="45" eb="46">
      <t>ビョウ</t>
    </rPh>
    <phoneticPr fontId="1"/>
  </si>
  <si>
    <t>19時まではたらいた</t>
    <rPh sb="2" eb="3">
      <t>ジ</t>
    </rPh>
    <phoneticPr fontId="1"/>
  </si>
  <si>
    <t>ｖ8221　winwerver構築　tomcat　java　mysql　hc　8826　dependency　データ作成 試験</t>
    <rPh sb="15" eb="17">
      <t>コウチク</t>
    </rPh>
    <rPh sb="58" eb="60">
      <t>サクセイ</t>
    </rPh>
    <rPh sb="61" eb="63">
      <t>シケン</t>
    </rPh>
    <phoneticPr fontId="1"/>
  </si>
  <si>
    <t>hc　8826　innofb_pool_size 試験</t>
    <rPh sb="25" eb="27">
      <t>シケン</t>
    </rPh>
    <phoneticPr fontId="1"/>
  </si>
  <si>
    <t>8253　webeditor　&lt;br&gt;&lt;div&gt;が入る　新バグ次行改行できなくなった</t>
    <rPh sb="25" eb="26">
      <t>ハイ</t>
    </rPh>
    <rPh sb="28" eb="29">
      <t>シン</t>
    </rPh>
    <rPh sb="31" eb="33">
      <t>ジギョウ</t>
    </rPh>
    <rPh sb="33" eb="35">
      <t>カイギョウ</t>
    </rPh>
    <phoneticPr fontId="1"/>
  </si>
  <si>
    <t>UK　#2　再編成　dependencies　（２）6263秒</t>
  </si>
  <si>
    <t>8826  対応　大量データ　時間測定　環境構築　UK　#2　再編成　dependencies　試験</t>
    <rPh sb="48" eb="50">
      <t>シケン</t>
    </rPh>
    <phoneticPr fontId="1"/>
  </si>
  <si>
    <t>hc　8826　UK モジュール修正 試験 deleted like ''</t>
    <rPh sb="16" eb="18">
      <t>シュウセイ</t>
    </rPh>
    <rPh sb="19" eb="21">
      <t>シケン</t>
    </rPh>
    <phoneticPr fontId="1"/>
  </si>
  <si>
    <t>hc　8826　環境構築　回答作成　設定</t>
    <rPh sb="8" eb="10">
      <t>カンキョウ</t>
    </rPh>
    <rPh sb="10" eb="12">
      <t>コウチク</t>
    </rPh>
    <rPh sb="13" eb="15">
      <t>カイトウ</t>
    </rPh>
    <rPh sb="15" eb="17">
      <t>サクセイ</t>
    </rPh>
    <rPh sb="18" eb="20">
      <t>セッテイ</t>
    </rPh>
    <phoneticPr fontId="1"/>
  </si>
  <si>
    <t>mysql5.7　インストール　設定　　データ作成</t>
    <rPh sb="16" eb="18">
      <t>セッテイ</t>
    </rPh>
    <rPh sb="23" eb="25">
      <t>サクセイ</t>
    </rPh>
    <phoneticPr fontId="1"/>
  </si>
  <si>
    <t>体調不良　path作成8826　試験</t>
    <rPh sb="0" eb="2">
      <t>タイチョウ</t>
    </rPh>
    <rPh sb="2" eb="4">
      <t>フリョウ</t>
    </rPh>
    <rPh sb="9" eb="11">
      <t>サクセイ</t>
    </rPh>
    <rPh sb="16" eb="18">
      <t>シケン</t>
    </rPh>
    <phoneticPr fontId="1"/>
  </si>
  <si>
    <t>8826　UK用測定 　データ作成</t>
    <rPh sb="7" eb="8">
      <t>ヨウ</t>
    </rPh>
    <rPh sb="8" eb="10">
      <t>ソクテイ</t>
    </rPh>
    <phoneticPr fontId="1"/>
  </si>
  <si>
    <t>8988　脆弱性調査</t>
    <rPh sb="5" eb="8">
      <t>ゼイジャクセイ</t>
    </rPh>
    <rPh sb="8" eb="10">
      <t>チョウサ</t>
    </rPh>
    <phoneticPr fontId="1"/>
  </si>
  <si>
    <t>8988　脆弱性調査　8826調査</t>
    <rPh sb="5" eb="8">
      <t>ゼイジャクセイ</t>
    </rPh>
    <rPh sb="8" eb="10">
      <t>チョウサ</t>
    </rPh>
    <rPh sb="15" eb="17">
      <t>チョウサ</t>
    </rPh>
    <phoneticPr fontId="1"/>
  </si>
  <si>
    <t>帰社　全休</t>
    <rPh sb="0" eb="2">
      <t>キシャ</t>
    </rPh>
    <rPh sb="3" eb="5">
      <t>ゼンキュウ</t>
    </rPh>
    <phoneticPr fontId="1"/>
  </si>
  <si>
    <t>8988　受領ファイル調査　　9036　一括の非公開処理</t>
    <rPh sb="5" eb="7">
      <t>ジュリョウ</t>
    </rPh>
    <rPh sb="11" eb="13">
      <t>チョウサ</t>
    </rPh>
    <rPh sb="20" eb="22">
      <t>イッカツ</t>
    </rPh>
    <rPh sb="23" eb="26">
      <t>ヒコウカイ</t>
    </rPh>
    <rPh sb="26" eb="28">
      <t>ショリ</t>
    </rPh>
    <phoneticPr fontId="1"/>
  </si>
  <si>
    <t>9036　一括の非公開処理　9027　scheduled_next_batch　</t>
    <phoneticPr fontId="1"/>
  </si>
  <si>
    <t>9044 　60スレッド同時保存　　8826 uk回答  8939 Firefox最新版で複数ファイルアップロード</t>
    <rPh sb="12" eb="14">
      <t>ドウジ</t>
    </rPh>
    <rPh sb="14" eb="16">
      <t>ホゾン</t>
    </rPh>
    <rPh sb="25" eb="27">
      <t>カイトウ</t>
    </rPh>
    <phoneticPr fontId="1"/>
  </si>
  <si>
    <t>8939 Firefox最新版で複数ファイルアップロード  9044 　60スレッド同時保存</t>
    <phoneticPr fontId="1"/>
  </si>
  <si>
    <t>電車遅延10：45</t>
    <rPh sb="0" eb="2">
      <t>デンシャ</t>
    </rPh>
    <rPh sb="2" eb="4">
      <t>チエン</t>
    </rPh>
    <phoneticPr fontId="1"/>
  </si>
  <si>
    <t>9044　追加対応user　8988　</t>
    <rPh sb="5" eb="7">
      <t>ツイカ</t>
    </rPh>
    <rPh sb="7" eb="9">
      <t>タイオウ</t>
    </rPh>
    <phoneticPr fontId="1"/>
  </si>
  <si>
    <t>8988　ROOT作成　9088　パナ　　9044排他ロック　動作確認　8865UKへの回答</t>
    <rPh sb="9" eb="11">
      <t>サクセイ</t>
    </rPh>
    <rPh sb="25" eb="27">
      <t>ハイタ</t>
    </rPh>
    <rPh sb="31" eb="33">
      <t>ドウサ</t>
    </rPh>
    <rPh sb="33" eb="35">
      <t>カクニン</t>
    </rPh>
    <rPh sb="44" eb="46">
      <t>カイトウ</t>
    </rPh>
    <phoneticPr fontId="1"/>
  </si>
  <si>
    <t>社用りせき 13:00-16:00    マイナス3　19：３0まで作業</t>
    <rPh sb="0" eb="2">
      <t>シャヨウ</t>
    </rPh>
    <rPh sb="34" eb="36">
      <t>サギョウ</t>
    </rPh>
    <phoneticPr fontId="1"/>
  </si>
  <si>
    <t>8988　クロスサイト　9044　スレッドダンプ要求　　　　　　9079　　平成</t>
    <rPh sb="24" eb="26">
      <t>ヨウキュウ</t>
    </rPh>
    <rPh sb="38" eb="40">
      <t>ヘイセイ</t>
    </rPh>
    <phoneticPr fontId="1"/>
  </si>
  <si>
    <t>8987　レビューア　8988　調査</t>
    <rPh sb="16" eb="18">
      <t>チョウサ</t>
    </rPh>
    <phoneticPr fontId="1"/>
  </si>
  <si>
    <t>8988　ｖ684比較　9035レビューア</t>
    <rPh sb="9" eb="11">
      <t>ヒカク</t>
    </rPh>
    <phoneticPr fontId="1"/>
  </si>
  <si>
    <t>実際稼動は18:30:00</t>
    <rPh sb="0" eb="2">
      <t>ジッサイ</t>
    </rPh>
    <rPh sb="2" eb="4">
      <t>カドウ</t>
    </rPh>
    <phoneticPr fontId="1"/>
  </si>
  <si>
    <t>実際稼動は19:30:00</t>
    <rPh sb="0" eb="2">
      <t>ジッサイ</t>
    </rPh>
    <rPh sb="2" eb="4">
      <t>カドウ</t>
    </rPh>
    <phoneticPr fontId="1"/>
  </si>
  <si>
    <t>8988 v684 環境構築　patch作成</t>
    <rPh sb="10" eb="12">
      <t>カンキョウ</t>
    </rPh>
    <rPh sb="12" eb="14">
      <t>コウチク</t>
    </rPh>
    <rPh sb="20" eb="22">
      <t>サクセイ</t>
    </rPh>
    <phoneticPr fontId="1"/>
  </si>
  <si>
    <t>イープラス性能　データ作成　　9088　パナ</t>
    <rPh sb="5" eb="7">
      <t>セイノウ</t>
    </rPh>
    <rPh sb="11" eb="13">
      <t>サクセイ</t>
    </rPh>
    <phoneticPr fontId="1"/>
  </si>
  <si>
    <t>イープラス性能　パラレス処理検証　　9088　パナ　9036韋駄天　一括非公開</t>
    <rPh sb="5" eb="7">
      <t>セイノウ</t>
    </rPh>
    <rPh sb="12" eb="14">
      <t>ショリ</t>
    </rPh>
    <rPh sb="14" eb="16">
      <t>ケンショウ</t>
    </rPh>
    <rPh sb="30" eb="33">
      <t>イダテン</t>
    </rPh>
    <rPh sb="34" eb="36">
      <t>イッカツ</t>
    </rPh>
    <rPh sb="36" eb="39">
      <t>ヒコウカイ</t>
    </rPh>
    <phoneticPr fontId="1"/>
  </si>
  <si>
    <t xml:space="preserve"> サポート会議　8988パッチ作成　過去ｖ687　　8825　NTTdata 大量データ作成</t>
    <rPh sb="5" eb="7">
      <t>カイギ</t>
    </rPh>
    <rPh sb="15" eb="17">
      <t>サクセイ</t>
    </rPh>
    <rPh sb="18" eb="20">
      <t>カコ</t>
    </rPh>
    <rPh sb="39" eb="41">
      <t>タイリョウ</t>
    </rPh>
    <rPh sb="44" eb="46">
      <t>サクセイ</t>
    </rPh>
    <phoneticPr fontId="1"/>
  </si>
  <si>
    <t>会議　１H　8988　6H　2.5H</t>
    <rPh sb="0" eb="2">
      <t>カイギ</t>
    </rPh>
    <phoneticPr fontId="1"/>
  </si>
  <si>
    <t>8H　1H</t>
    <phoneticPr fontId="1"/>
  </si>
  <si>
    <t>夏季休暇</t>
    <rPh sb="0" eb="2">
      <t>カキ</t>
    </rPh>
    <rPh sb="2" eb="4">
      <t>キュウカ</t>
    </rPh>
    <phoneticPr fontId="1"/>
  </si>
  <si>
    <t>祝日</t>
    <rPh sb="0" eb="2">
      <t>シュクジツ</t>
    </rPh>
    <phoneticPr fontId="1"/>
  </si>
  <si>
    <t>4H　２H　２H</t>
    <phoneticPr fontId="1"/>
  </si>
  <si>
    <t>1H　4H　3H</t>
    <phoneticPr fontId="1"/>
  </si>
  <si>
    <t>会議　9088　パナ　9142 user　メール送信</t>
    <rPh sb="0" eb="2">
      <t>カイギ</t>
    </rPh>
    <rPh sb="24" eb="26">
      <t>ソウシン</t>
    </rPh>
    <phoneticPr fontId="1"/>
  </si>
  <si>
    <t>1H　</t>
    <phoneticPr fontId="1"/>
  </si>
  <si>
    <t>9044 デッドロック　9088パナ</t>
    <phoneticPr fontId="1"/>
  </si>
  <si>
    <t>4H　5H</t>
    <phoneticPr fontId="1"/>
  </si>
  <si>
    <t>1H　 8H</t>
    <phoneticPr fontId="1"/>
  </si>
  <si>
    <t>体調不良　11:15</t>
    <rPh sb="0" eb="2">
      <t>タイチョウ</t>
    </rPh>
    <rPh sb="2" eb="4">
      <t>フリョウ</t>
    </rPh>
    <phoneticPr fontId="1"/>
  </si>
  <si>
    <t>4H　４H</t>
    <phoneticPr fontId="1"/>
  </si>
  <si>
    <t>9180　メールヘッダーインジェクション　8826イープラス    9189テーブル定義</t>
    <rPh sb="42" eb="44">
      <t>テイギ</t>
    </rPh>
    <phoneticPr fontId="1"/>
  </si>
  <si>
    <t>9180　メールヘッダーインジェクション　9044 デッドロック　9189テーブル定義</t>
    <phoneticPr fontId="1"/>
  </si>
  <si>
    <t>4H　４H　1.5H</t>
    <phoneticPr fontId="1"/>
  </si>
  <si>
    <t>5H   2H　　１H</t>
    <phoneticPr fontId="1"/>
  </si>
  <si>
    <t>会議１H　9044 デッドロック　9088パナ　9180メールヘッダーインジェクション</t>
    <rPh sb="0" eb="2">
      <t>カイギ</t>
    </rPh>
    <phoneticPr fontId="1"/>
  </si>
  <si>
    <t>１H　２H　3H　2H</t>
    <phoneticPr fontId="1"/>
  </si>
  <si>
    <t>9088パナ　　9199 base　href  9189テーブル定義 　会議</t>
    <rPh sb="36" eb="38">
      <t>カイギ</t>
    </rPh>
    <phoneticPr fontId="1"/>
  </si>
  <si>
    <t>5H 1H 2.5H　１H</t>
    <phoneticPr fontId="1"/>
  </si>
  <si>
    <t>2H  6H</t>
    <phoneticPr fontId="1"/>
  </si>
  <si>
    <t>会議     9189テーブル定義 作成</t>
    <rPh sb="0" eb="2">
      <t>カイギ</t>
    </rPh>
    <rPh sb="18" eb="20">
      <t>サクセイ</t>
    </rPh>
    <phoneticPr fontId="1"/>
  </si>
  <si>
    <t>9044 デッドロック　9180メールヘッダーインジェクション　（9179、9174、8236関連）9189テーブル定義</t>
    <rPh sb="47" eb="49">
      <t>カンレン</t>
    </rPh>
    <phoneticPr fontId="1"/>
  </si>
  <si>
    <t>9H</t>
    <phoneticPr fontId="1"/>
  </si>
  <si>
    <t>２H　4H 3.5H</t>
    <phoneticPr fontId="1"/>
  </si>
  <si>
    <t>9044 デッドロック　 9088パナ　 会議</t>
    <phoneticPr fontId="1"/>
  </si>
  <si>
    <t>9189テーブル定義 cxm merge　inndex見直し</t>
    <rPh sb="27" eb="29">
      <t>ミナオ</t>
    </rPh>
    <phoneticPr fontId="1"/>
  </si>
  <si>
    <t>４H、3H,1H</t>
    <phoneticPr fontId="1"/>
  </si>
  <si>
    <t>9044だけつけてない</t>
    <phoneticPr fontId="1"/>
  </si>
  <si>
    <t xml:space="preserve"> 9088パナ 再現　9044 デッドロック</t>
    <rPh sb="8" eb="10">
      <t>サイゲン</t>
    </rPh>
    <phoneticPr fontId="1"/>
  </si>
  <si>
    <t>2H</t>
    <phoneticPr fontId="1"/>
  </si>
  <si>
    <t>9044 デッドロック デバックusers情報</t>
    <rPh sb="21" eb="23">
      <t>ジョウホウ</t>
    </rPh>
    <phoneticPr fontId="1"/>
  </si>
  <si>
    <t>19時まで作業</t>
    <rPh sb="2" eb="3">
      <t>ジ</t>
    </rPh>
    <rPh sb="5" eb="7">
      <t>サギョウ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</si>
</sst>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[h]:mm"/>
    <numFmt numFmtId="177" formatCode="d"/>
    <numFmt numFmtId="178" formatCode="m/d;@"/>
    <numFmt numFmtId="179" formatCode="aaa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3.5"/>
      <color rgb="FF008080"/>
      <name val="メイリオ"/>
      <family val="3"/>
      <charset val="128"/>
    </font>
    <font>
      <sz val="10"/>
      <color rgb="FF000000"/>
      <name val="Roboto Medium"/>
      <family val="2"/>
    </font>
    <font>
      <sz val="10"/>
      <color rgb="FF000000"/>
      <name val="ＭＳ Ｐゴシック"/>
      <family val="3"/>
      <charset val="128"/>
    </font>
    <font>
      <sz val="10"/>
      <color rgb="FF000000"/>
      <name val="ＭＳ ゴシック"/>
      <family val="2"/>
      <charset val="128"/>
    </font>
    <font>
      <sz val="10"/>
      <color rgb="FF000000"/>
      <name val="Roboto Medium"/>
      <family val="2"/>
      <charset val="128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6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2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177" fontId="0" fillId="0" borderId="0" xfId="0" applyNumberFormat="1" applyFill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20" fontId="0" fillId="0" borderId="1" xfId="0" applyNumberFormat="1" applyFill="1" applyBorder="1">
      <alignment vertical="center"/>
    </xf>
    <xf numFmtId="177" fontId="0" fillId="2" borderId="0" xfId="0" applyNumberFormat="1" applyFill="1">
      <alignment vertical="center"/>
    </xf>
    <xf numFmtId="20" fontId="0" fillId="2" borderId="1" xfId="0" applyNumberFormat="1" applyFill="1" applyBorder="1">
      <alignment vertical="center"/>
    </xf>
    <xf numFmtId="177" fontId="0" fillId="3" borderId="0" xfId="0" applyNumberFormat="1" applyFill="1">
      <alignment vertical="center"/>
    </xf>
    <xf numFmtId="20" fontId="0" fillId="3" borderId="1" xfId="0" applyNumberFormat="1" applyFill="1" applyBorder="1">
      <alignment vertical="center"/>
    </xf>
    <xf numFmtId="177" fontId="0" fillId="4" borderId="0" xfId="0" applyNumberFormat="1" applyFill="1">
      <alignment vertical="center"/>
    </xf>
    <xf numFmtId="0" fontId="0" fillId="4" borderId="1" xfId="0" applyFill="1" applyBorder="1">
      <alignment vertical="center"/>
    </xf>
    <xf numFmtId="20" fontId="0" fillId="4" borderId="1" xfId="0" applyNumberFormat="1" applyFill="1" applyBorder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176" fontId="0" fillId="0" borderId="0" xfId="0" applyNumberFormat="1" applyFill="1">
      <alignment vertical="center"/>
    </xf>
    <xf numFmtId="0" fontId="0" fillId="0" borderId="1" xfId="0" applyFill="1" applyBorder="1" applyAlignment="1">
      <alignment vertical="center" wrapText="1"/>
    </xf>
    <xf numFmtId="20" fontId="0" fillId="0" borderId="0" xfId="0" applyNumberFormat="1" applyFill="1">
      <alignment vertical="center"/>
    </xf>
    <xf numFmtId="176" fontId="0" fillId="0" borderId="1" xfId="0" applyNumberFormat="1" applyFill="1" applyBorder="1">
      <alignment vertical="center"/>
    </xf>
    <xf numFmtId="177" fontId="0" fillId="5" borderId="0" xfId="0" applyNumberFormat="1" applyFill="1">
      <alignment vertical="center"/>
    </xf>
    <xf numFmtId="0" fontId="0" fillId="5" borderId="1" xfId="0" applyFill="1" applyBorder="1">
      <alignment vertical="center"/>
    </xf>
    <xf numFmtId="20" fontId="0" fillId="5" borderId="1" xfId="0" applyNumberFormat="1" applyFill="1" applyBorder="1">
      <alignment vertical="center"/>
    </xf>
    <xf numFmtId="0" fontId="0" fillId="6" borderId="1" xfId="0" applyFill="1" applyBorder="1">
      <alignment vertical="center"/>
    </xf>
    <xf numFmtId="20" fontId="0" fillId="6" borderId="1" xfId="0" applyNumberFormat="1" applyFill="1" applyBorder="1">
      <alignment vertical="center"/>
    </xf>
    <xf numFmtId="0" fontId="0" fillId="7" borderId="0" xfId="0" applyFill="1">
      <alignment vertical="center"/>
    </xf>
    <xf numFmtId="0" fontId="0" fillId="7" borderId="1" xfId="0" applyFill="1" applyBorder="1">
      <alignment vertical="center"/>
    </xf>
    <xf numFmtId="176" fontId="0" fillId="2" borderId="1" xfId="0" applyNumberFormat="1" applyFill="1" applyBorder="1">
      <alignment vertical="center"/>
    </xf>
    <xf numFmtId="0" fontId="0" fillId="2" borderId="0" xfId="0" applyFill="1">
      <alignment vertical="center"/>
    </xf>
    <xf numFmtId="176" fontId="0" fillId="3" borderId="1" xfId="0" applyNumberFormat="1" applyFill="1" applyBorder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8" borderId="1" xfId="0" applyFill="1" applyBorder="1">
      <alignment vertical="center"/>
    </xf>
    <xf numFmtId="20" fontId="0" fillId="8" borderId="1" xfId="0" applyNumberFormat="1" applyFill="1" applyBorder="1">
      <alignment vertical="center"/>
    </xf>
    <xf numFmtId="176" fontId="0" fillId="0" borderId="1" xfId="0" applyNumberFormat="1" applyFill="1" applyBorder="1" applyAlignment="1">
      <alignment vertical="center" wrapText="1"/>
    </xf>
    <xf numFmtId="177" fontId="0" fillId="9" borderId="0" xfId="0" applyNumberFormat="1" applyFill="1">
      <alignment vertical="center"/>
    </xf>
    <xf numFmtId="0" fontId="0" fillId="9" borderId="1" xfId="0" applyFill="1" applyBorder="1">
      <alignment vertical="center"/>
    </xf>
    <xf numFmtId="176" fontId="0" fillId="9" borderId="1" xfId="0" applyNumberFormat="1" applyFill="1" applyBorder="1">
      <alignment vertical="center"/>
    </xf>
    <xf numFmtId="20" fontId="0" fillId="9" borderId="1" xfId="0" applyNumberFormat="1" applyFill="1" applyBorder="1">
      <alignment vertical="center"/>
    </xf>
    <xf numFmtId="0" fontId="0" fillId="9" borderId="0" xfId="0" applyFill="1">
      <alignment vertical="center"/>
    </xf>
    <xf numFmtId="0" fontId="3" fillId="0" borderId="0" xfId="0" applyFont="1" applyAlignment="1">
      <alignment horizontal="left" vertical="center"/>
    </xf>
    <xf numFmtId="0" fontId="0" fillId="3" borderId="1" xfId="0" applyFill="1" applyBorder="1" applyAlignment="1">
      <alignment vertical="center" wrapText="1"/>
    </xf>
    <xf numFmtId="178" fontId="0" fillId="0" borderId="0" xfId="0" applyNumberFormat="1" applyFill="1">
      <alignment vertical="center"/>
    </xf>
    <xf numFmtId="179" fontId="0" fillId="0" borderId="1" xfId="0" applyNumberFormat="1" applyFill="1" applyBorder="1">
      <alignment vertical="center"/>
    </xf>
    <xf numFmtId="0" fontId="6" fillId="0" borderId="0" xfId="0" applyFont="1">
      <alignment vertical="center"/>
    </xf>
    <xf numFmtId="177" fontId="0" fillId="10" borderId="0" xfId="0" applyNumberFormat="1" applyFill="1">
      <alignment vertical="center"/>
    </xf>
    <xf numFmtId="0" fontId="0" fillId="10" borderId="1" xfId="0" applyFill="1" applyBorder="1">
      <alignment vertical="center"/>
    </xf>
    <xf numFmtId="176" fontId="0" fillId="10" borderId="1" xfId="0" applyNumberFormat="1" applyFill="1" applyBorder="1">
      <alignment vertical="center"/>
    </xf>
    <xf numFmtId="20" fontId="0" fillId="10" borderId="1" xfId="0" applyNumberFormat="1" applyFill="1" applyBorder="1">
      <alignment vertical="center"/>
    </xf>
    <xf numFmtId="0" fontId="0" fillId="10" borderId="0" xfId="0" applyFill="1">
      <alignment vertical="center"/>
    </xf>
    <xf numFmtId="0" fontId="0" fillId="11" borderId="1" xfId="0" applyFill="1" applyBorder="1">
      <alignment vertical="center"/>
    </xf>
    <xf numFmtId="178" fontId="0" fillId="2" borderId="0" xfId="0" applyNumberFormat="1" applyFill="1">
      <alignment vertical="center"/>
    </xf>
    <xf numFmtId="179" fontId="0" fillId="2" borderId="1" xfId="0" applyNumberFormat="1" applyFill="1" applyBorder="1">
      <alignment vertical="center"/>
    </xf>
    <xf numFmtId="178" fontId="0" fillId="3" borderId="0" xfId="0" applyNumberFormat="1" applyFill="1">
      <alignment vertical="center"/>
    </xf>
    <xf numFmtId="179" fontId="0" fillId="3" borderId="1" xfId="0" applyNumberFormat="1" applyFill="1" applyBorder="1">
      <alignment vertical="center"/>
    </xf>
    <xf numFmtId="178" fontId="0" fillId="12" borderId="0" xfId="0" applyNumberFormat="1" applyFill="1">
      <alignment vertical="center"/>
    </xf>
    <xf numFmtId="0" fontId="0" fillId="12" borderId="1" xfId="0" applyFill="1" applyBorder="1">
      <alignment vertical="center"/>
    </xf>
    <xf numFmtId="179" fontId="0" fillId="12" borderId="1" xfId="0" applyNumberFormat="1" applyFill="1" applyBorder="1">
      <alignment vertical="center"/>
    </xf>
    <xf numFmtId="176" fontId="0" fillId="12" borderId="1" xfId="0" applyNumberFormat="1" applyFill="1" applyBorder="1">
      <alignment vertical="center"/>
    </xf>
    <xf numFmtId="20" fontId="0" fillId="12" borderId="1" xfId="0" applyNumberFormat="1" applyFill="1" applyBorder="1">
      <alignment vertical="center"/>
    </xf>
    <xf numFmtId="3" fontId="0" fillId="0" borderId="1" xfId="0" applyNumberFormat="1" applyFill="1" applyBorder="1" applyAlignment="1">
      <alignment horizontal="left" vertical="top"/>
    </xf>
    <xf numFmtId="178" fontId="0" fillId="10" borderId="0" xfId="0" applyNumberFormat="1" applyFill="1">
      <alignment vertical="center"/>
    </xf>
    <xf numFmtId="179" fontId="0" fillId="10" borderId="1" xfId="0" applyNumberFormat="1" applyFill="1" applyBorder="1">
      <alignment vertical="center"/>
    </xf>
    <xf numFmtId="0" fontId="2" fillId="2" borderId="0" xfId="0" applyFont="1" applyFill="1">
      <alignment vertical="center"/>
    </xf>
    <xf numFmtId="0" fontId="0" fillId="2" borderId="1" xfId="0" applyFill="1" applyBorder="1" applyAlignment="1">
      <alignment vertical="center" wrapText="1"/>
    </xf>
    <xf numFmtId="0" fontId="0" fillId="13" borderId="1" xfId="0" applyFill="1" applyBorder="1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43368A0-CDBA-4089-9C95-66418E17DC5B}">
      <tableStyleElement type="wholeTable" dxfId="1"/>
      <tableStyleElement type="headerRow" dxfId="0"/>
    </tableStyle>
  </tableStyles>
  <colors>
    <mruColors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257735</xdr:colOff>
      <xdr:row>41</xdr:row>
      <xdr:rowOff>156883</xdr:rowOff>
    </xdr:from>
    <xdr:to>
      <xdr:col>6</xdr:col>
      <xdr:colOff>347382</xdr:colOff>
      <xdr:row>44</xdr:row>
      <xdr:rowOff>89647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A42DC7B9-1592-458F-9EAD-C7FCB36353B1}"/>
            </a:ext>
          </a:extLst>
        </xdr:cNvPr>
        <xdr:cNvSpPr/>
      </xdr:nvSpPr>
      <xdr:spPr>
        <a:xfrm>
          <a:off x="1924610" y="10234333"/>
          <a:ext cx="1461247" cy="647139"/>
        </a:xfrm>
        <a:prstGeom prst="wedgeRoundRectCallout">
          <a:avLst>
            <a:gd name="adj1" fmla="val 100151"/>
            <a:gd name="adj2" fmla="val -163737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[h]:mm</a:t>
          </a:r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9</xdr:col>
      <xdr:colOff>309282</xdr:colOff>
      <xdr:row>0</xdr:row>
      <xdr:rowOff>219636</xdr:rowOff>
    </xdr:from>
    <xdr:to>
      <xdr:col>9</xdr:col>
      <xdr:colOff>2263589</xdr:colOff>
      <xdr:row>2</xdr:row>
      <xdr:rowOff>156883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4D902E59-3904-486D-98F0-15720F123E7B}"/>
            </a:ext>
          </a:extLst>
        </xdr:cNvPr>
        <xdr:cNvSpPr/>
      </xdr:nvSpPr>
      <xdr:spPr>
        <a:xfrm>
          <a:off x="5328957" y="219636"/>
          <a:ext cx="1954307" cy="413497"/>
        </a:xfrm>
        <a:prstGeom prst="wedgeRoundRectCallout">
          <a:avLst>
            <a:gd name="adj1" fmla="val -110284"/>
            <a:gd name="adj2" fmla="val 18791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=IF(D6="","",G6-F6)</a:t>
          </a:r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0</xdr:col>
      <xdr:colOff>0</xdr:colOff>
      <xdr:row>38</xdr:row>
      <xdr:rowOff>170330</xdr:rowOff>
    </xdr:from>
    <xdr:to>
      <xdr:col>4</xdr:col>
      <xdr:colOff>49307</xdr:colOff>
      <xdr:row>40</xdr:row>
      <xdr:rowOff>107577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DB67FD91-A19C-4D90-90E2-8EA77A51E326}"/>
            </a:ext>
          </a:extLst>
        </xdr:cNvPr>
        <xdr:cNvSpPr/>
      </xdr:nvSpPr>
      <xdr:spPr>
        <a:xfrm>
          <a:off x="0" y="9533405"/>
          <a:ext cx="1716182" cy="413497"/>
        </a:xfrm>
        <a:prstGeom prst="wedgeRoundRectCallout">
          <a:avLst>
            <a:gd name="adj1" fmla="val -21408"/>
            <a:gd name="adj2" fmla="val -21593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=DATE($A$3,$B$3,1)</a:t>
          </a:r>
        </a:p>
      </xdr:txBody>
    </xdr:sp>
    <xdr:clientData/>
  </xdr:twoCellAnchor>
  <xdr:twoCellAnchor>
    <xdr:from>
      <xdr:col>3</xdr:col>
      <xdr:colOff>410135</xdr:colOff>
      <xdr:row>36</xdr:row>
      <xdr:rowOff>199466</xdr:rowOff>
    </xdr:from>
    <xdr:to>
      <xdr:col>6</xdr:col>
      <xdr:colOff>313765</xdr:colOff>
      <xdr:row>38</xdr:row>
      <xdr:rowOff>136713</xdr:rowOff>
    </xdr:to>
    <xdr:sp macro="" textlink="">
      <xdr:nvSpPr>
        <xdr:cNvPr id="5" name="吹き出し: 角を丸めた四角形 4">
          <a:extLst>
            <a:ext uri="{FF2B5EF4-FFF2-40B4-BE49-F238E27FC236}">
              <a16:creationId xmlns:a16="http://schemas.microsoft.com/office/drawing/2014/main" id="{DB897DB0-8464-4537-8C04-AB38208DA11B}"/>
            </a:ext>
          </a:extLst>
        </xdr:cNvPr>
        <xdr:cNvSpPr/>
      </xdr:nvSpPr>
      <xdr:spPr>
        <a:xfrm>
          <a:off x="1391210" y="9086291"/>
          <a:ext cx="1961030" cy="413497"/>
        </a:xfrm>
        <a:prstGeom prst="wedgeRoundRectCallout">
          <a:avLst>
            <a:gd name="adj1" fmla="val -79894"/>
            <a:gd name="adj2" fmla="val -13076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=WEEKDAY(A33)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5D43A-B699-432A-949F-8E0B4D86F736}">
  <sheetPr codeName="Sheet2"/>
  <dimension ref="A2:L38"/>
  <sheetViews>
    <sheetView topLeftCell="A19" zoomScale="85" zoomScaleNormal="85" workbookViewId="0">
      <selection activeCell="H34" sqref="H34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4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7">
        <f>DATE($A$3,$B$3,1)</f>
        <v>43191</v>
      </c>
      <c r="B6" s="8">
        <f>WEEKDAY(A6)</f>
        <v>1</v>
      </c>
      <c r="C6" s="8" t="s">
        <v>19</v>
      </c>
      <c r="D6" s="24">
        <v>0.38541666666666669</v>
      </c>
      <c r="E6" s="24">
        <v>0.75</v>
      </c>
      <c r="F6" s="11">
        <v>4.1666666666666664E-2</v>
      </c>
      <c r="G6" s="11">
        <f>E6-D6</f>
        <v>0.36458333333333331</v>
      </c>
      <c r="H6" s="11">
        <f t="shared" ref="H6:H16" si="0">IF(D6="","",G6-F6)</f>
        <v>0.32291666666666663</v>
      </c>
      <c r="I6" s="8"/>
      <c r="J6" s="8"/>
      <c r="K6" s="20"/>
    </row>
    <row r="7" spans="1:12">
      <c r="A7" s="7">
        <f>DATE($A$3,$B$3,2)</f>
        <v>43192</v>
      </c>
      <c r="B7" s="8">
        <f t="shared" ref="B7:B36" si="1">WEEKDAY(A7)</f>
        <v>2</v>
      </c>
      <c r="C7" s="8" t="s">
        <v>10</v>
      </c>
      <c r="D7" s="24">
        <v>0.375</v>
      </c>
      <c r="E7" s="24">
        <v>0.79166666666666663</v>
      </c>
      <c r="F7" s="11">
        <v>4.1666666666666664E-2</v>
      </c>
      <c r="G7" s="11">
        <f t="shared" ref="G7:G36" si="2">E7-D7</f>
        <v>0.41666666666666663</v>
      </c>
      <c r="H7" s="11">
        <f t="shared" si="0"/>
        <v>0.37499999999999994</v>
      </c>
      <c r="I7" s="8"/>
      <c r="J7" s="8"/>
    </row>
    <row r="8" spans="1:12">
      <c r="A8" s="7">
        <f>DATE($A$3,$B$3,3)</f>
        <v>43193</v>
      </c>
      <c r="B8" s="8">
        <f t="shared" si="1"/>
        <v>3</v>
      </c>
      <c r="C8" s="8" t="s">
        <v>11</v>
      </c>
      <c r="D8" s="24"/>
      <c r="E8" s="24"/>
      <c r="F8" s="11">
        <v>4.1666666666666664E-2</v>
      </c>
      <c r="G8" s="11">
        <f t="shared" si="2"/>
        <v>0</v>
      </c>
      <c r="H8" s="11" t="str">
        <f t="shared" si="0"/>
        <v/>
      </c>
      <c r="I8" s="8"/>
      <c r="J8" s="8"/>
    </row>
    <row r="9" spans="1:12" ht="21.75">
      <c r="A9" s="7">
        <f>DATE($A$3,$B$3,4)</f>
        <v>43194</v>
      </c>
      <c r="B9" s="8">
        <f t="shared" si="1"/>
        <v>4</v>
      </c>
      <c r="C9" s="8" t="s">
        <v>12</v>
      </c>
      <c r="D9" s="24"/>
      <c r="E9" s="24"/>
      <c r="F9" s="11">
        <v>4.1666666666666664E-2</v>
      </c>
      <c r="G9" s="11">
        <f t="shared" si="2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7">
        <f>DATE($A3,$B3,5)</f>
        <v>43195</v>
      </c>
      <c r="B10" s="8">
        <f t="shared" si="1"/>
        <v>5</v>
      </c>
      <c r="C10" s="8" t="s">
        <v>6</v>
      </c>
      <c r="D10" s="24">
        <v>0.375</v>
      </c>
      <c r="E10" s="24">
        <v>0.79166666666666663</v>
      </c>
      <c r="F10" s="11">
        <v>4.1666666666666664E-2</v>
      </c>
      <c r="G10" s="11">
        <f t="shared" si="2"/>
        <v>0.41666666666666663</v>
      </c>
      <c r="H10" s="11">
        <f t="shared" si="0"/>
        <v>0.37499999999999994</v>
      </c>
      <c r="I10" s="8"/>
      <c r="J10" s="8"/>
    </row>
    <row r="11" spans="1:12">
      <c r="A11" s="7">
        <f>DATE($A3,$B3,6)</f>
        <v>43196</v>
      </c>
      <c r="B11" s="8">
        <f t="shared" si="1"/>
        <v>6</v>
      </c>
      <c r="C11" s="8" t="s">
        <v>7</v>
      </c>
      <c r="D11" s="24"/>
      <c r="E11" s="24"/>
      <c r="F11" s="11">
        <v>4.1666666666666664E-2</v>
      </c>
      <c r="G11" s="11">
        <f t="shared" si="2"/>
        <v>0</v>
      </c>
      <c r="H11" s="11" t="str">
        <f t="shared" si="0"/>
        <v/>
      </c>
      <c r="I11" s="8"/>
      <c r="J11" s="8"/>
    </row>
    <row r="12" spans="1:12">
      <c r="A12" s="7">
        <f>DATE($A3,$B3,7)</f>
        <v>43197</v>
      </c>
      <c r="B12" s="8">
        <f t="shared" si="1"/>
        <v>7</v>
      </c>
      <c r="C12" s="8" t="s">
        <v>8</v>
      </c>
      <c r="D12" s="24"/>
      <c r="E12" s="24"/>
      <c r="F12" s="11">
        <v>4.1666666666666664E-2</v>
      </c>
      <c r="G12" s="11">
        <f t="shared" si="2"/>
        <v>0</v>
      </c>
      <c r="H12" s="11" t="str">
        <f t="shared" si="0"/>
        <v/>
      </c>
      <c r="I12" s="8"/>
      <c r="J12" s="8"/>
      <c r="L12" s="21"/>
    </row>
    <row r="13" spans="1:12">
      <c r="A13" s="7">
        <f>DATE($A3,$B3,8)</f>
        <v>43198</v>
      </c>
      <c r="B13" s="8">
        <f t="shared" si="1"/>
        <v>1</v>
      </c>
      <c r="C13" s="8" t="s">
        <v>9</v>
      </c>
      <c r="D13" s="24">
        <v>0.375</v>
      </c>
      <c r="E13" s="24">
        <v>0.8125</v>
      </c>
      <c r="F13" s="11">
        <v>4.1666666666666664E-2</v>
      </c>
      <c r="G13" s="11">
        <f t="shared" si="2"/>
        <v>0.4375</v>
      </c>
      <c r="H13" s="11">
        <f t="shared" si="0"/>
        <v>0.39583333333333331</v>
      </c>
      <c r="I13" s="8"/>
      <c r="J13" s="22"/>
    </row>
    <row r="14" spans="1:12">
      <c r="A14" s="7">
        <f>DATE($A3,$B3,9)</f>
        <v>43199</v>
      </c>
      <c r="B14" s="8">
        <f t="shared" si="1"/>
        <v>2</v>
      </c>
      <c r="C14" s="8" t="s">
        <v>10</v>
      </c>
      <c r="D14" s="24">
        <v>0.375</v>
      </c>
      <c r="E14" s="24">
        <v>0.78125</v>
      </c>
      <c r="F14" s="11">
        <v>4.1666666666666664E-2</v>
      </c>
      <c r="G14" s="11">
        <f t="shared" si="2"/>
        <v>0.40625</v>
      </c>
      <c r="H14" s="11">
        <f t="shared" si="0"/>
        <v>0.36458333333333331</v>
      </c>
      <c r="I14" s="8"/>
      <c r="J14" s="8"/>
    </row>
    <row r="15" spans="1:12">
      <c r="A15" s="7">
        <f>DATE($A3,$B3,10)</f>
        <v>43200</v>
      </c>
      <c r="B15" s="8">
        <f t="shared" si="1"/>
        <v>3</v>
      </c>
      <c r="C15" s="8" t="s">
        <v>11</v>
      </c>
      <c r="D15" s="24"/>
      <c r="E15" s="24"/>
      <c r="F15" s="11">
        <v>4.1666666666666664E-2</v>
      </c>
      <c r="G15" s="11">
        <f t="shared" si="2"/>
        <v>0</v>
      </c>
      <c r="H15" s="11" t="str">
        <f t="shared" si="0"/>
        <v/>
      </c>
      <c r="I15" s="8"/>
      <c r="J15" s="8"/>
    </row>
    <row r="16" spans="1:12">
      <c r="A16" s="7">
        <f>DATE($A3,$B3,11)</f>
        <v>43201</v>
      </c>
      <c r="B16" s="8">
        <f t="shared" si="1"/>
        <v>4</v>
      </c>
      <c r="C16" s="8" t="s">
        <v>12</v>
      </c>
      <c r="D16" s="24"/>
      <c r="E16" s="24"/>
      <c r="F16" s="11">
        <v>4.1666666666666664E-2</v>
      </c>
      <c r="G16" s="11">
        <f t="shared" si="2"/>
        <v>0</v>
      </c>
      <c r="H16" s="11" t="str">
        <f t="shared" si="0"/>
        <v/>
      </c>
      <c r="I16" s="8"/>
      <c r="J16" s="8"/>
    </row>
    <row r="17" spans="1:10">
      <c r="A17" s="7">
        <f>DATE($A3,$B3,12)</f>
        <v>43202</v>
      </c>
      <c r="B17" s="8">
        <f t="shared" si="1"/>
        <v>5</v>
      </c>
      <c r="C17" s="8" t="s">
        <v>6</v>
      </c>
      <c r="D17" s="24"/>
      <c r="E17" s="24"/>
      <c r="F17" s="11">
        <v>4.1666666666666664E-2</v>
      </c>
      <c r="G17" s="11">
        <f t="shared" si="2"/>
        <v>0</v>
      </c>
      <c r="H17" s="11" t="str">
        <f>IF(D17="","",G17-F17)</f>
        <v/>
      </c>
      <c r="I17" s="8"/>
      <c r="J17" s="8"/>
    </row>
    <row r="18" spans="1:10">
      <c r="A18" s="7">
        <f>DATE($A3,$B3,13)</f>
        <v>43203</v>
      </c>
      <c r="B18" s="8">
        <f t="shared" si="1"/>
        <v>6</v>
      </c>
      <c r="C18" s="8" t="s">
        <v>7</v>
      </c>
      <c r="D18" s="24"/>
      <c r="E18" s="24"/>
      <c r="F18" s="11">
        <v>4.1666666666666664E-2</v>
      </c>
      <c r="G18" s="11">
        <f t="shared" si="2"/>
        <v>0</v>
      </c>
      <c r="H18" s="11" t="str">
        <f t="shared" ref="H18:H35" si="3">IF(D18="","",G18-F18)</f>
        <v/>
      </c>
      <c r="I18" s="8"/>
      <c r="J18" s="8"/>
    </row>
    <row r="19" spans="1:10">
      <c r="A19" s="7">
        <f>DATE($A3,$B3,14)</f>
        <v>43204</v>
      </c>
      <c r="B19" s="8">
        <f t="shared" si="1"/>
        <v>7</v>
      </c>
      <c r="C19" s="8" t="s">
        <v>8</v>
      </c>
      <c r="D19" s="24"/>
      <c r="E19" s="24"/>
      <c r="F19" s="11">
        <v>4.1666666666666664E-2</v>
      </c>
      <c r="G19" s="11">
        <f t="shared" si="2"/>
        <v>0</v>
      </c>
      <c r="H19" s="11" t="str">
        <f t="shared" si="3"/>
        <v/>
      </c>
      <c r="I19" s="8"/>
      <c r="J19" s="8"/>
    </row>
    <row r="20" spans="1:10">
      <c r="A20" s="7">
        <f>DATE($A3,$B3,15)</f>
        <v>43205</v>
      </c>
      <c r="B20" s="8">
        <f t="shared" si="1"/>
        <v>1</v>
      </c>
      <c r="C20" s="8" t="s">
        <v>9</v>
      </c>
      <c r="D20" s="24"/>
      <c r="E20" s="24"/>
      <c r="F20" s="11">
        <v>4.1666666666666664E-2</v>
      </c>
      <c r="G20" s="11">
        <f t="shared" si="2"/>
        <v>0</v>
      </c>
      <c r="H20" s="11" t="str">
        <f t="shared" si="3"/>
        <v/>
      </c>
      <c r="I20" s="8"/>
      <c r="J20" s="8"/>
    </row>
    <row r="21" spans="1:10">
      <c r="A21" s="7">
        <f>DATE($A3,$B3,16)</f>
        <v>43206</v>
      </c>
      <c r="B21" s="8">
        <f t="shared" si="1"/>
        <v>2</v>
      </c>
      <c r="C21" s="8" t="s">
        <v>10</v>
      </c>
      <c r="D21" s="24"/>
      <c r="E21" s="24"/>
      <c r="F21" s="11">
        <v>4.1666666666666664E-2</v>
      </c>
      <c r="G21" s="11">
        <f t="shared" si="2"/>
        <v>0</v>
      </c>
      <c r="H21" s="11" t="str">
        <f t="shared" si="3"/>
        <v/>
      </c>
      <c r="I21" s="8"/>
      <c r="J21" s="8"/>
    </row>
    <row r="22" spans="1:10">
      <c r="A22" s="7">
        <f>DATE($A3,$B3,17)</f>
        <v>43207</v>
      </c>
      <c r="B22" s="8">
        <f t="shared" si="1"/>
        <v>3</v>
      </c>
      <c r="C22" s="8" t="s">
        <v>11</v>
      </c>
      <c r="D22" s="24"/>
      <c r="E22" s="24"/>
      <c r="F22" s="11">
        <v>4.1666666666666664E-2</v>
      </c>
      <c r="G22" s="11">
        <f t="shared" si="2"/>
        <v>0</v>
      </c>
      <c r="H22" s="11" t="str">
        <f t="shared" si="3"/>
        <v/>
      </c>
      <c r="I22" s="8"/>
      <c r="J22" s="8"/>
    </row>
    <row r="23" spans="1:10">
      <c r="A23" s="7">
        <f>DATE($A3,$B3,18)</f>
        <v>43208</v>
      </c>
      <c r="B23" s="8">
        <f t="shared" si="1"/>
        <v>4</v>
      </c>
      <c r="C23" s="8" t="s">
        <v>12</v>
      </c>
      <c r="D23" s="24"/>
      <c r="E23" s="24"/>
      <c r="F23" s="11">
        <v>4.1666666666666664E-2</v>
      </c>
      <c r="G23" s="11">
        <f t="shared" si="2"/>
        <v>0</v>
      </c>
      <c r="H23" s="11" t="str">
        <f t="shared" si="3"/>
        <v/>
      </c>
      <c r="I23" s="8"/>
      <c r="J23" s="8"/>
    </row>
    <row r="24" spans="1:10">
      <c r="A24" s="7">
        <f>DATE($A3,$B3,19)</f>
        <v>43209</v>
      </c>
      <c r="B24" s="8">
        <f t="shared" si="1"/>
        <v>5</v>
      </c>
      <c r="C24" s="8" t="s">
        <v>6</v>
      </c>
      <c r="D24" s="24"/>
      <c r="E24" s="24"/>
      <c r="F24" s="11">
        <v>4.1666666666666664E-2</v>
      </c>
      <c r="G24" s="11">
        <f t="shared" si="2"/>
        <v>0</v>
      </c>
      <c r="H24" s="11" t="str">
        <f t="shared" si="3"/>
        <v/>
      </c>
      <c r="I24" s="8"/>
      <c r="J24" s="8"/>
    </row>
    <row r="25" spans="1:10">
      <c r="A25" s="7">
        <f>DATE($A3,$B3,20)</f>
        <v>43210</v>
      </c>
      <c r="B25" s="8">
        <f t="shared" si="1"/>
        <v>6</v>
      </c>
      <c r="C25" s="8" t="s">
        <v>7</v>
      </c>
      <c r="D25" s="24"/>
      <c r="E25" s="24"/>
      <c r="F25" s="11">
        <v>4.1666666666666664E-2</v>
      </c>
      <c r="G25" s="11">
        <f t="shared" si="2"/>
        <v>0</v>
      </c>
      <c r="H25" s="11" t="str">
        <f t="shared" si="3"/>
        <v/>
      </c>
      <c r="I25" s="8"/>
      <c r="J25" s="8"/>
    </row>
    <row r="26" spans="1:10">
      <c r="A26" s="7">
        <f>DATE($A3,$B3,21)</f>
        <v>43211</v>
      </c>
      <c r="B26" s="8">
        <f t="shared" si="1"/>
        <v>7</v>
      </c>
      <c r="C26" s="8" t="s">
        <v>8</v>
      </c>
      <c r="D26" s="24"/>
      <c r="E26" s="24"/>
      <c r="F26" s="11">
        <v>4.1666666666666664E-2</v>
      </c>
      <c r="G26" s="11">
        <f t="shared" si="2"/>
        <v>0</v>
      </c>
      <c r="H26" s="11" t="str">
        <f t="shared" si="3"/>
        <v/>
      </c>
      <c r="I26" s="8"/>
      <c r="J26" s="8"/>
    </row>
    <row r="27" spans="1:10">
      <c r="A27" s="7">
        <f>DATE($A3,$B3,22)</f>
        <v>43212</v>
      </c>
      <c r="B27" s="8">
        <f t="shared" si="1"/>
        <v>1</v>
      </c>
      <c r="C27" s="8" t="s">
        <v>9</v>
      </c>
      <c r="D27" s="24"/>
      <c r="E27" s="24"/>
      <c r="F27" s="11">
        <v>4.1666666666666664E-2</v>
      </c>
      <c r="G27" s="11">
        <f t="shared" si="2"/>
        <v>0</v>
      </c>
      <c r="H27" s="11" t="str">
        <f t="shared" si="3"/>
        <v/>
      </c>
      <c r="I27" s="8"/>
      <c r="J27" s="8"/>
    </row>
    <row r="28" spans="1:10">
      <c r="A28" s="7">
        <f>DATE($A3,$B3,23)</f>
        <v>43213</v>
      </c>
      <c r="B28" s="8">
        <f t="shared" si="1"/>
        <v>2</v>
      </c>
      <c r="C28" s="8" t="s">
        <v>10</v>
      </c>
      <c r="D28" s="24"/>
      <c r="E28" s="24"/>
      <c r="F28" s="11">
        <v>4.1666666666666664E-2</v>
      </c>
      <c r="G28" s="11">
        <f t="shared" si="2"/>
        <v>0</v>
      </c>
      <c r="H28" s="11" t="str">
        <f t="shared" si="3"/>
        <v/>
      </c>
      <c r="I28" s="8"/>
      <c r="J28" s="8"/>
    </row>
    <row r="29" spans="1:10">
      <c r="A29" s="7">
        <f>DATE($A3,$B3,24)</f>
        <v>43214</v>
      </c>
      <c r="B29" s="8">
        <f t="shared" si="1"/>
        <v>3</v>
      </c>
      <c r="C29" s="8" t="s">
        <v>11</v>
      </c>
      <c r="D29" s="24"/>
      <c r="E29" s="24"/>
      <c r="F29" s="11">
        <v>4.1666666666666664E-2</v>
      </c>
      <c r="G29" s="11">
        <f t="shared" si="2"/>
        <v>0</v>
      </c>
      <c r="H29" s="11" t="str">
        <f t="shared" si="3"/>
        <v/>
      </c>
      <c r="I29" s="8"/>
      <c r="J29" s="8"/>
    </row>
    <row r="30" spans="1:10">
      <c r="A30" s="7">
        <f>DATE($A3,$B3,25)</f>
        <v>43215</v>
      </c>
      <c r="B30" s="8">
        <f t="shared" si="1"/>
        <v>4</v>
      </c>
      <c r="C30" s="8" t="s">
        <v>12</v>
      </c>
      <c r="D30" s="24"/>
      <c r="E30" s="24"/>
      <c r="F30" s="11">
        <v>4.1666666666666664E-2</v>
      </c>
      <c r="G30" s="11">
        <f t="shared" si="2"/>
        <v>0</v>
      </c>
      <c r="H30" s="11" t="str">
        <f t="shared" si="3"/>
        <v/>
      </c>
      <c r="I30" s="8"/>
      <c r="J30" s="8"/>
    </row>
    <row r="31" spans="1:10">
      <c r="A31" s="7">
        <f>DATE($A3,$B3,26)</f>
        <v>43216</v>
      </c>
      <c r="B31" s="8">
        <f t="shared" si="1"/>
        <v>5</v>
      </c>
      <c r="C31" s="8" t="s">
        <v>6</v>
      </c>
      <c r="D31" s="24"/>
      <c r="E31" s="24"/>
      <c r="F31" s="11">
        <v>4.1666666666666664E-2</v>
      </c>
      <c r="G31" s="11">
        <f t="shared" si="2"/>
        <v>0</v>
      </c>
      <c r="H31" s="11" t="str">
        <f t="shared" si="3"/>
        <v/>
      </c>
      <c r="I31" s="8"/>
      <c r="J31" s="8"/>
    </row>
    <row r="32" spans="1:10">
      <c r="A32" s="7">
        <f>DATE($A3,$B3,27)</f>
        <v>43217</v>
      </c>
      <c r="B32" s="8">
        <f t="shared" si="1"/>
        <v>6</v>
      </c>
      <c r="C32" s="8" t="s">
        <v>7</v>
      </c>
      <c r="D32" s="24"/>
      <c r="E32" s="24"/>
      <c r="F32" s="11">
        <v>4.1666666666666664E-2</v>
      </c>
      <c r="G32" s="11">
        <f t="shared" si="2"/>
        <v>0</v>
      </c>
      <c r="H32" s="11" t="str">
        <f t="shared" si="3"/>
        <v/>
      </c>
      <c r="I32" s="8"/>
      <c r="J32" s="8"/>
    </row>
    <row r="33" spans="1:10">
      <c r="A33" s="7">
        <f>DATE($A3,$B3,28)</f>
        <v>43218</v>
      </c>
      <c r="B33" s="8">
        <f>WEEKDAY(A33)</f>
        <v>7</v>
      </c>
      <c r="C33" s="8" t="s">
        <v>8</v>
      </c>
      <c r="D33" s="24"/>
      <c r="E33" s="24"/>
      <c r="F33" s="11">
        <v>4.1666666666666664E-2</v>
      </c>
      <c r="G33" s="11">
        <f t="shared" si="2"/>
        <v>0</v>
      </c>
      <c r="H33" s="11" t="str">
        <f t="shared" si="3"/>
        <v/>
      </c>
      <c r="I33" s="8"/>
      <c r="J33" s="8"/>
    </row>
    <row r="34" spans="1:10">
      <c r="A34" s="7">
        <f>DATE($A3,$B3,29)</f>
        <v>43219</v>
      </c>
      <c r="B34" s="8">
        <f t="shared" si="1"/>
        <v>1</v>
      </c>
      <c r="C34" s="8" t="s">
        <v>9</v>
      </c>
      <c r="D34" s="24"/>
      <c r="E34" s="24"/>
      <c r="F34" s="11">
        <v>4.1666666666666664E-2</v>
      </c>
      <c r="G34" s="11">
        <f t="shared" si="2"/>
        <v>0</v>
      </c>
      <c r="H34" s="11" t="str">
        <f t="shared" si="3"/>
        <v/>
      </c>
      <c r="I34" s="8"/>
      <c r="J34" s="8"/>
    </row>
    <row r="35" spans="1:10">
      <c r="A35" s="7">
        <f>DATE($A3,$B3,30)</f>
        <v>43220</v>
      </c>
      <c r="B35" s="8">
        <f t="shared" si="1"/>
        <v>2</v>
      </c>
      <c r="C35" s="8" t="s">
        <v>10</v>
      </c>
      <c r="D35" s="24"/>
      <c r="E35" s="24"/>
      <c r="F35" s="11">
        <v>4.1666666666666664E-2</v>
      </c>
      <c r="G35" s="11">
        <f t="shared" si="2"/>
        <v>0</v>
      </c>
      <c r="H35" s="11" t="str">
        <f t="shared" si="3"/>
        <v/>
      </c>
      <c r="I35" s="8"/>
      <c r="J35" s="8"/>
    </row>
    <row r="36" spans="1:10">
      <c r="A36" s="7">
        <f>DATE($A3,$B3,31)</f>
        <v>43221</v>
      </c>
      <c r="B36" s="8">
        <f t="shared" si="1"/>
        <v>3</v>
      </c>
      <c r="C36" s="8" t="s">
        <v>11</v>
      </c>
      <c r="D36" s="24"/>
      <c r="E36" s="24"/>
      <c r="F36" s="11">
        <v>4.1666666666666664E-2</v>
      </c>
      <c r="G36" s="11">
        <f t="shared" si="2"/>
        <v>0</v>
      </c>
      <c r="H36" s="11"/>
      <c r="I36" s="8"/>
      <c r="J36" s="8"/>
    </row>
    <row r="37" spans="1:10">
      <c r="H37" s="23"/>
    </row>
    <row r="38" spans="1:10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7F894-7327-4A8B-832A-0CEA538734BD}">
  <sheetPr codeName="Sheet5"/>
  <dimension ref="A2:L38"/>
  <sheetViews>
    <sheetView topLeftCell="A19" zoomScale="85" zoomScaleNormal="85" workbookViewId="0">
      <selection activeCell="D36" sqref="D36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4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43191</v>
      </c>
      <c r="B6" s="8">
        <f>WEEKDAY(A6)</f>
        <v>1</v>
      </c>
      <c r="C6" s="48">
        <f>WEEKDAY(A6,1)</f>
        <v>1</v>
      </c>
      <c r="D6" s="24">
        <v>0.38541666666666669</v>
      </c>
      <c r="E6" s="24">
        <v>0.75</v>
      </c>
      <c r="F6" s="11">
        <v>4.1666666666666664E-2</v>
      </c>
      <c r="G6" s="11">
        <f>E6-D6</f>
        <v>0.36458333333333331</v>
      </c>
      <c r="H6" s="11">
        <f t="shared" ref="H6:H16" si="0">IF(D6="","",G6-F6)</f>
        <v>0.32291666666666663</v>
      </c>
      <c r="I6" s="8"/>
      <c r="J6" s="8"/>
      <c r="K6" s="20"/>
    </row>
    <row r="7" spans="1:12">
      <c r="A7" s="47">
        <f>DATE($A$3,$B$3,2)</f>
        <v>43192</v>
      </c>
      <c r="B7" s="8">
        <f t="shared" ref="B7:B36" si="1">WEEKDAY(A7)</f>
        <v>2</v>
      </c>
      <c r="C7" s="48">
        <f t="shared" ref="C7:C36" si="2">WEEKDAY(A7,1)</f>
        <v>2</v>
      </c>
      <c r="D7" s="24">
        <v>0.375</v>
      </c>
      <c r="E7" s="24">
        <v>0.79166666666666663</v>
      </c>
      <c r="F7" s="11">
        <v>4.1666666666666664E-2</v>
      </c>
      <c r="G7" s="11">
        <f t="shared" ref="G7:G36" si="3">E7-D7</f>
        <v>0.41666666666666663</v>
      </c>
      <c r="H7" s="11">
        <f t="shared" si="0"/>
        <v>0.37499999999999994</v>
      </c>
      <c r="I7" s="8"/>
      <c r="J7" s="8"/>
    </row>
    <row r="8" spans="1:12">
      <c r="A8" s="47">
        <f>DATE($A$3,$B$3,3)</f>
        <v>43193</v>
      </c>
      <c r="B8" s="8">
        <f t="shared" si="1"/>
        <v>3</v>
      </c>
      <c r="C8" s="48">
        <f t="shared" si="2"/>
        <v>3</v>
      </c>
      <c r="D8" s="24"/>
      <c r="E8" s="24"/>
      <c r="F8" s="11">
        <v>4.1666666666666664E-2</v>
      </c>
      <c r="G8" s="11">
        <f t="shared" si="3"/>
        <v>0</v>
      </c>
      <c r="H8" s="11" t="str">
        <f t="shared" si="0"/>
        <v/>
      </c>
      <c r="I8" s="8"/>
      <c r="J8" s="8"/>
    </row>
    <row r="9" spans="1:12" ht="21.75">
      <c r="A9" s="47">
        <f>DATE($A$3,$B$3,4)</f>
        <v>43194</v>
      </c>
      <c r="B9" s="8">
        <f t="shared" si="1"/>
        <v>4</v>
      </c>
      <c r="C9" s="48">
        <f t="shared" si="2"/>
        <v>4</v>
      </c>
      <c r="D9" s="24"/>
      <c r="E9" s="24"/>
      <c r="F9" s="11">
        <v>4.1666666666666664E-2</v>
      </c>
      <c r="G9" s="11">
        <f t="shared" si="3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47">
        <f>DATE($A3,$B3,5)</f>
        <v>43195</v>
      </c>
      <c r="B10" s="8">
        <f t="shared" si="1"/>
        <v>5</v>
      </c>
      <c r="C10" s="48">
        <f t="shared" si="2"/>
        <v>5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47">
        <f>DATE($A3,$B3,6)</f>
        <v>43196</v>
      </c>
      <c r="B11" s="8">
        <f t="shared" si="1"/>
        <v>6</v>
      </c>
      <c r="C11" s="48">
        <f t="shared" si="2"/>
        <v>6</v>
      </c>
      <c r="D11" s="24"/>
      <c r="E11" s="24"/>
      <c r="F11" s="11">
        <v>4.1666666666666664E-2</v>
      </c>
      <c r="G11" s="11">
        <f t="shared" si="3"/>
        <v>0</v>
      </c>
      <c r="H11" s="11" t="str">
        <f t="shared" si="0"/>
        <v/>
      </c>
      <c r="I11" s="8"/>
      <c r="J11" s="8"/>
    </row>
    <row r="12" spans="1:12">
      <c r="A12" s="47">
        <f>DATE($A3,$B3,7)</f>
        <v>43197</v>
      </c>
      <c r="B12" s="8">
        <f t="shared" si="1"/>
        <v>7</v>
      </c>
      <c r="C12" s="48">
        <f t="shared" si="2"/>
        <v>7</v>
      </c>
      <c r="D12" s="24"/>
      <c r="E12" s="24"/>
      <c r="F12" s="11">
        <v>4.1666666666666664E-2</v>
      </c>
      <c r="G12" s="11">
        <f t="shared" si="3"/>
        <v>0</v>
      </c>
      <c r="H12" s="11" t="str">
        <f t="shared" si="0"/>
        <v/>
      </c>
      <c r="I12" s="8"/>
      <c r="J12" s="8"/>
      <c r="L12" s="21"/>
    </row>
    <row r="13" spans="1:12">
      <c r="A13" s="47">
        <f>DATE($A3,$B3,8)</f>
        <v>43198</v>
      </c>
      <c r="B13" s="8">
        <f t="shared" si="1"/>
        <v>1</v>
      </c>
      <c r="C13" s="48">
        <f t="shared" si="2"/>
        <v>1</v>
      </c>
      <c r="D13" s="24">
        <v>0.375</v>
      </c>
      <c r="E13" s="24">
        <v>0.8125</v>
      </c>
      <c r="F13" s="11">
        <v>4.1666666666666664E-2</v>
      </c>
      <c r="G13" s="11">
        <f t="shared" si="3"/>
        <v>0.4375</v>
      </c>
      <c r="H13" s="11">
        <f t="shared" si="0"/>
        <v>0.39583333333333331</v>
      </c>
      <c r="I13" s="8"/>
      <c r="J13" s="22"/>
    </row>
    <row r="14" spans="1:12">
      <c r="A14" s="47">
        <f>DATE($A3,$B3,9)</f>
        <v>43199</v>
      </c>
      <c r="B14" s="8">
        <f t="shared" si="1"/>
        <v>2</v>
      </c>
      <c r="C14" s="48">
        <f t="shared" si="2"/>
        <v>2</v>
      </c>
      <c r="D14" s="24">
        <v>0.375</v>
      </c>
      <c r="E14" s="24">
        <v>0.78125</v>
      </c>
      <c r="F14" s="11">
        <v>4.1666666666666664E-2</v>
      </c>
      <c r="G14" s="11">
        <f t="shared" si="3"/>
        <v>0.40625</v>
      </c>
      <c r="H14" s="11">
        <f t="shared" si="0"/>
        <v>0.36458333333333331</v>
      </c>
      <c r="I14" s="8"/>
      <c r="J14" s="8"/>
    </row>
    <row r="15" spans="1:12">
      <c r="A15" s="47">
        <f>DATE($A3,$B3,10)</f>
        <v>43200</v>
      </c>
      <c r="B15" s="8">
        <f t="shared" si="1"/>
        <v>3</v>
      </c>
      <c r="C15" s="48">
        <f t="shared" si="2"/>
        <v>3</v>
      </c>
      <c r="D15" s="24"/>
      <c r="E15" s="24"/>
      <c r="F15" s="11">
        <v>4.1666666666666664E-2</v>
      </c>
      <c r="G15" s="11">
        <f t="shared" si="3"/>
        <v>0</v>
      </c>
      <c r="H15" s="11" t="str">
        <f t="shared" si="0"/>
        <v/>
      </c>
      <c r="I15" s="8"/>
      <c r="J15" s="8"/>
    </row>
    <row r="16" spans="1:12">
      <c r="A16" s="47">
        <f>DATE($A3,$B3,11)</f>
        <v>43201</v>
      </c>
      <c r="B16" s="8">
        <f t="shared" si="1"/>
        <v>4</v>
      </c>
      <c r="C16" s="48">
        <f t="shared" si="2"/>
        <v>4</v>
      </c>
      <c r="D16" s="24"/>
      <c r="E16" s="24"/>
      <c r="F16" s="11">
        <v>4.1666666666666664E-2</v>
      </c>
      <c r="G16" s="11">
        <f t="shared" si="3"/>
        <v>0</v>
      </c>
      <c r="H16" s="11" t="str">
        <f t="shared" si="0"/>
        <v/>
      </c>
      <c r="I16" s="8"/>
      <c r="J16" s="8"/>
    </row>
    <row r="17" spans="1:10">
      <c r="A17" s="47">
        <f>DATE($A3,$B3,12)</f>
        <v>43202</v>
      </c>
      <c r="B17" s="8">
        <f t="shared" si="1"/>
        <v>5</v>
      </c>
      <c r="C17" s="48">
        <f t="shared" si="2"/>
        <v>5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0">
      <c r="A18" s="47">
        <f>DATE($A3,$B3,13)</f>
        <v>43203</v>
      </c>
      <c r="B18" s="8">
        <f t="shared" si="1"/>
        <v>6</v>
      </c>
      <c r="C18" s="48">
        <f t="shared" si="2"/>
        <v>6</v>
      </c>
      <c r="D18" s="24"/>
      <c r="E18" s="24"/>
      <c r="F18" s="11">
        <v>4.1666666666666664E-2</v>
      </c>
      <c r="G18" s="11">
        <f t="shared" si="3"/>
        <v>0</v>
      </c>
      <c r="H18" s="11" t="str">
        <f t="shared" ref="H18:H36" si="4">IF(D18="","",G18-F18)</f>
        <v/>
      </c>
      <c r="I18" s="8"/>
      <c r="J18" s="8"/>
    </row>
    <row r="19" spans="1:10">
      <c r="A19" s="47">
        <f>DATE($A3,$B3,14)</f>
        <v>43204</v>
      </c>
      <c r="B19" s="8">
        <f t="shared" si="1"/>
        <v>7</v>
      </c>
      <c r="C19" s="48">
        <f t="shared" si="2"/>
        <v>7</v>
      </c>
      <c r="D19" s="24"/>
      <c r="E19" s="24"/>
      <c r="F19" s="11">
        <v>4.1666666666666664E-2</v>
      </c>
      <c r="G19" s="11">
        <f t="shared" si="3"/>
        <v>0</v>
      </c>
      <c r="H19" s="11" t="str">
        <f t="shared" si="4"/>
        <v/>
      </c>
      <c r="I19" s="8"/>
      <c r="J19" s="8"/>
    </row>
    <row r="20" spans="1:10">
      <c r="A20" s="47">
        <f>DATE($A3,$B3,15)</f>
        <v>43205</v>
      </c>
      <c r="B20" s="8">
        <f t="shared" si="1"/>
        <v>1</v>
      </c>
      <c r="C20" s="48">
        <f t="shared" si="2"/>
        <v>1</v>
      </c>
      <c r="D20" s="24"/>
      <c r="E20" s="24"/>
      <c r="F20" s="11">
        <v>4.1666666666666664E-2</v>
      </c>
      <c r="G20" s="11">
        <f t="shared" si="3"/>
        <v>0</v>
      </c>
      <c r="H20" s="11" t="str">
        <f t="shared" si="4"/>
        <v/>
      </c>
      <c r="I20" s="8"/>
      <c r="J20" s="8"/>
    </row>
    <row r="21" spans="1:10">
      <c r="A21" s="47">
        <f>DATE($A3,$B3,16)</f>
        <v>43206</v>
      </c>
      <c r="B21" s="8">
        <f t="shared" si="1"/>
        <v>2</v>
      </c>
      <c r="C21" s="48">
        <f t="shared" si="2"/>
        <v>2</v>
      </c>
      <c r="D21" s="24"/>
      <c r="E21" s="24"/>
      <c r="F21" s="11">
        <v>4.1666666666666664E-2</v>
      </c>
      <c r="G21" s="11">
        <f t="shared" si="3"/>
        <v>0</v>
      </c>
      <c r="H21" s="11" t="str">
        <f t="shared" si="4"/>
        <v/>
      </c>
      <c r="I21" s="8"/>
      <c r="J21" s="8"/>
    </row>
    <row r="22" spans="1:10">
      <c r="A22" s="47">
        <f>DATE($A3,$B3,17)</f>
        <v>43207</v>
      </c>
      <c r="B22" s="8">
        <f t="shared" si="1"/>
        <v>3</v>
      </c>
      <c r="C22" s="48">
        <f t="shared" si="2"/>
        <v>3</v>
      </c>
      <c r="D22" s="24"/>
      <c r="E22" s="24"/>
      <c r="F22" s="11">
        <v>4.1666666666666664E-2</v>
      </c>
      <c r="G22" s="11">
        <f t="shared" si="3"/>
        <v>0</v>
      </c>
      <c r="H22" s="11" t="str">
        <f t="shared" si="4"/>
        <v/>
      </c>
      <c r="I22" s="8"/>
      <c r="J22" s="8"/>
    </row>
    <row r="23" spans="1:10">
      <c r="A23" s="47">
        <f>DATE($A3,$B3,18)</f>
        <v>43208</v>
      </c>
      <c r="B23" s="8">
        <f t="shared" si="1"/>
        <v>4</v>
      </c>
      <c r="C23" s="48">
        <f t="shared" si="2"/>
        <v>4</v>
      </c>
      <c r="D23" s="24"/>
      <c r="E23" s="24"/>
      <c r="F23" s="11">
        <v>4.1666666666666664E-2</v>
      </c>
      <c r="G23" s="11">
        <f t="shared" si="3"/>
        <v>0</v>
      </c>
      <c r="H23" s="11" t="str">
        <f t="shared" si="4"/>
        <v/>
      </c>
      <c r="I23" s="8"/>
      <c r="J23" s="8"/>
    </row>
    <row r="24" spans="1:10">
      <c r="A24" s="47">
        <f>DATE($A3,$B3,19)</f>
        <v>43209</v>
      </c>
      <c r="B24" s="8">
        <f t="shared" si="1"/>
        <v>5</v>
      </c>
      <c r="C24" s="48">
        <f t="shared" si="2"/>
        <v>5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0">
      <c r="A25" s="47">
        <f>DATE($A3,$B3,20)</f>
        <v>43210</v>
      </c>
      <c r="B25" s="8">
        <f t="shared" si="1"/>
        <v>6</v>
      </c>
      <c r="C25" s="48">
        <f t="shared" si="2"/>
        <v>6</v>
      </c>
      <c r="D25" s="24"/>
      <c r="E25" s="24"/>
      <c r="F25" s="11">
        <v>4.1666666666666664E-2</v>
      </c>
      <c r="G25" s="11">
        <f t="shared" si="3"/>
        <v>0</v>
      </c>
      <c r="H25" s="11" t="str">
        <f t="shared" si="4"/>
        <v/>
      </c>
      <c r="I25" s="8"/>
      <c r="J25" s="8"/>
    </row>
    <row r="26" spans="1:10">
      <c r="A26" s="47">
        <f>DATE($A3,$B3,21)</f>
        <v>43211</v>
      </c>
      <c r="B26" s="8">
        <f t="shared" si="1"/>
        <v>7</v>
      </c>
      <c r="C26" s="48">
        <f t="shared" si="2"/>
        <v>7</v>
      </c>
      <c r="D26" s="24"/>
      <c r="E26" s="24"/>
      <c r="F26" s="11">
        <v>4.1666666666666664E-2</v>
      </c>
      <c r="G26" s="11">
        <f t="shared" si="3"/>
        <v>0</v>
      </c>
      <c r="H26" s="11" t="str">
        <f t="shared" si="4"/>
        <v/>
      </c>
      <c r="I26" s="8"/>
      <c r="J26" s="8"/>
    </row>
    <row r="27" spans="1:10">
      <c r="A27" s="47">
        <f>DATE($A3,$B3,22)</f>
        <v>43212</v>
      </c>
      <c r="B27" s="8">
        <f t="shared" si="1"/>
        <v>1</v>
      </c>
      <c r="C27" s="48">
        <f t="shared" si="2"/>
        <v>1</v>
      </c>
      <c r="D27" s="24"/>
      <c r="E27" s="24"/>
      <c r="F27" s="11">
        <v>4.1666666666666664E-2</v>
      </c>
      <c r="G27" s="11">
        <f t="shared" si="3"/>
        <v>0</v>
      </c>
      <c r="H27" s="11" t="str">
        <f t="shared" si="4"/>
        <v/>
      </c>
      <c r="I27" s="8"/>
      <c r="J27" s="8"/>
    </row>
    <row r="28" spans="1:10">
      <c r="A28" s="47">
        <f>DATE($A3,$B3,23)</f>
        <v>43213</v>
      </c>
      <c r="B28" s="8">
        <f t="shared" si="1"/>
        <v>2</v>
      </c>
      <c r="C28" s="48">
        <f t="shared" si="2"/>
        <v>2</v>
      </c>
      <c r="D28" s="24"/>
      <c r="E28" s="24"/>
      <c r="F28" s="11">
        <v>4.1666666666666664E-2</v>
      </c>
      <c r="G28" s="11">
        <f t="shared" si="3"/>
        <v>0</v>
      </c>
      <c r="H28" s="11" t="str">
        <f t="shared" si="4"/>
        <v/>
      </c>
      <c r="I28" s="8"/>
      <c r="J28" s="8"/>
    </row>
    <row r="29" spans="1:10">
      <c r="A29" s="47">
        <f>DATE($A3,$B3,24)</f>
        <v>43214</v>
      </c>
      <c r="B29" s="8">
        <f t="shared" si="1"/>
        <v>3</v>
      </c>
      <c r="C29" s="48">
        <f t="shared" si="2"/>
        <v>3</v>
      </c>
      <c r="D29" s="24"/>
      <c r="E29" s="24"/>
      <c r="F29" s="11">
        <v>4.1666666666666664E-2</v>
      </c>
      <c r="G29" s="11">
        <f t="shared" si="3"/>
        <v>0</v>
      </c>
      <c r="H29" s="11" t="str">
        <f t="shared" si="4"/>
        <v/>
      </c>
      <c r="I29" s="8"/>
      <c r="J29" s="8"/>
    </row>
    <row r="30" spans="1:10">
      <c r="A30" s="47">
        <f>DATE($A3,$B3,25)</f>
        <v>43215</v>
      </c>
      <c r="B30" s="8">
        <f t="shared" si="1"/>
        <v>4</v>
      </c>
      <c r="C30" s="48">
        <f t="shared" si="2"/>
        <v>4</v>
      </c>
      <c r="D30" s="24"/>
      <c r="E30" s="24"/>
      <c r="F30" s="11">
        <v>4.1666666666666664E-2</v>
      </c>
      <c r="G30" s="11">
        <f t="shared" si="3"/>
        <v>0</v>
      </c>
      <c r="H30" s="11" t="str">
        <f t="shared" si="4"/>
        <v/>
      </c>
      <c r="I30" s="8"/>
      <c r="J30" s="8"/>
    </row>
    <row r="31" spans="1:10">
      <c r="A31" s="47">
        <f>DATE($A3,$B3,26)</f>
        <v>43216</v>
      </c>
      <c r="B31" s="8">
        <f t="shared" si="1"/>
        <v>5</v>
      </c>
      <c r="C31" s="48">
        <f t="shared" si="2"/>
        <v>5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0">
      <c r="A32" s="47">
        <f>DATE($A3,$B3,27)</f>
        <v>43217</v>
      </c>
      <c r="B32" s="8">
        <f t="shared" si="1"/>
        <v>6</v>
      </c>
      <c r="C32" s="48">
        <f t="shared" si="2"/>
        <v>6</v>
      </c>
      <c r="D32" s="24"/>
      <c r="E32" s="24"/>
      <c r="F32" s="11">
        <v>4.1666666666666664E-2</v>
      </c>
      <c r="G32" s="11">
        <f t="shared" si="3"/>
        <v>0</v>
      </c>
      <c r="H32" s="11" t="str">
        <f t="shared" si="4"/>
        <v/>
      </c>
      <c r="I32" s="8"/>
      <c r="J32" s="8"/>
    </row>
    <row r="33" spans="1:10">
      <c r="A33" s="47">
        <f>DATE($A3,$B3,28)</f>
        <v>43218</v>
      </c>
      <c r="B33" s="8">
        <f t="shared" si="1"/>
        <v>7</v>
      </c>
      <c r="C33" s="48">
        <f t="shared" si="2"/>
        <v>7</v>
      </c>
      <c r="D33" s="24"/>
      <c r="E33" s="24"/>
      <c r="F33" s="11">
        <v>4.1666666666666664E-2</v>
      </c>
      <c r="G33" s="11">
        <f t="shared" si="3"/>
        <v>0</v>
      </c>
      <c r="H33" s="11" t="str">
        <f t="shared" si="4"/>
        <v/>
      </c>
      <c r="I33" s="8"/>
      <c r="J33" s="8"/>
    </row>
    <row r="34" spans="1:10">
      <c r="A34" s="47">
        <f>DATE($A3,$B3,29)</f>
        <v>43219</v>
      </c>
      <c r="B34" s="8">
        <f t="shared" si="1"/>
        <v>1</v>
      </c>
      <c r="C34" s="48">
        <f t="shared" si="2"/>
        <v>1</v>
      </c>
      <c r="D34" s="24"/>
      <c r="E34" s="24"/>
      <c r="F34" s="11">
        <v>4.1666666666666664E-2</v>
      </c>
      <c r="G34" s="11">
        <f t="shared" si="3"/>
        <v>0</v>
      </c>
      <c r="H34" s="11" t="str">
        <f t="shared" si="4"/>
        <v/>
      </c>
      <c r="I34" s="8"/>
      <c r="J34" s="8"/>
    </row>
    <row r="35" spans="1:10">
      <c r="A35" s="47">
        <f>DATE($A3,$B3,30)</f>
        <v>43220</v>
      </c>
      <c r="B35" s="8">
        <f t="shared" si="1"/>
        <v>2</v>
      </c>
      <c r="C35" s="48">
        <f t="shared" si="2"/>
        <v>2</v>
      </c>
      <c r="D35" s="24"/>
      <c r="E35" s="24"/>
      <c r="F35" s="11">
        <v>4.1666666666666664E-2</v>
      </c>
      <c r="G35" s="11">
        <f t="shared" si="3"/>
        <v>0</v>
      </c>
      <c r="H35" s="11" t="str">
        <f t="shared" si="4"/>
        <v/>
      </c>
      <c r="I35" s="8"/>
      <c r="J35" s="8"/>
    </row>
    <row r="36" spans="1:10">
      <c r="A36" s="7">
        <f>DATE($A3,$B3,31)</f>
        <v>43221</v>
      </c>
      <c r="B36" s="8">
        <f t="shared" si="1"/>
        <v>3</v>
      </c>
      <c r="C36" s="48">
        <f t="shared" si="2"/>
        <v>3</v>
      </c>
      <c r="D36" s="24"/>
      <c r="E36" s="24"/>
      <c r="F36" s="11">
        <v>4.1666666666666664E-2</v>
      </c>
      <c r="G36" s="11">
        <f t="shared" si="3"/>
        <v>0</v>
      </c>
      <c r="H36" s="11" t="str">
        <f t="shared" si="4"/>
        <v/>
      </c>
      <c r="I36" s="8"/>
      <c r="J36" s="8"/>
    </row>
    <row r="37" spans="1:10">
      <c r="H37" s="23"/>
    </row>
    <row r="38" spans="1:10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D7E0-BF88-4FE9-A8F7-E82A82438233}">
  <sheetPr codeName="Sheet1"/>
  <dimension ref="A2:L38"/>
  <sheetViews>
    <sheetView topLeftCell="A10" zoomScale="85" zoomScaleNormal="85" workbookViewId="0">
      <selection activeCell="F28" sqref="F28"/>
    </sheetView>
  </sheetViews>
  <sheetFormatPr defaultRowHeight="18.75"/>
  <cols>
    <col min="1" max="1" width="5.875" bestFit="1" customWidth="1"/>
    <col min="2" max="2" width="3.5" style="30" bestFit="1" customWidth="1"/>
    <col min="3" max="3" width="3.5" bestFit="1" customWidth="1"/>
    <col min="9" max="9" width="8" customWidth="1"/>
    <col min="10" max="10" width="81.5" bestFit="1" customWidth="1"/>
  </cols>
  <sheetData>
    <row r="2" spans="1:12">
      <c r="A2" t="s">
        <v>17</v>
      </c>
      <c r="B2" s="30" t="s">
        <v>18</v>
      </c>
    </row>
    <row r="3" spans="1:12">
      <c r="A3">
        <v>2018</v>
      </c>
      <c r="B3" s="30">
        <v>2</v>
      </c>
    </row>
    <row r="5" spans="1:12">
      <c r="C5" s="4"/>
      <c r="D5" s="4" t="s">
        <v>0</v>
      </c>
      <c r="E5" s="4" t="s">
        <v>1</v>
      </c>
      <c r="F5" s="4" t="s">
        <v>2</v>
      </c>
      <c r="G5" s="28" t="s">
        <v>4</v>
      </c>
      <c r="H5" s="4" t="s">
        <v>3</v>
      </c>
      <c r="I5" s="4"/>
      <c r="J5" s="4"/>
    </row>
    <row r="6" spans="1:12" ht="21.75">
      <c r="A6" s="7">
        <f>DATE($A$3,$B$3,1)</f>
        <v>43132</v>
      </c>
      <c r="B6" s="31">
        <f>WEEKDAY(A6)</f>
        <v>5</v>
      </c>
      <c r="C6" s="8" t="s">
        <v>19</v>
      </c>
      <c r="D6" s="11">
        <v>0.375</v>
      </c>
      <c r="E6" s="11">
        <v>0.75</v>
      </c>
      <c r="F6" s="11">
        <v>4.1666666666666664E-2</v>
      </c>
      <c r="G6" s="29">
        <f>E6-D6</f>
        <v>0.375</v>
      </c>
      <c r="H6" s="5">
        <f t="shared" ref="H6:H16" si="0">IF(D6="","",G6-F6)</f>
        <v>0.33333333333333331</v>
      </c>
      <c r="I6" s="4"/>
      <c r="J6" s="4" t="s">
        <v>13</v>
      </c>
      <c r="K6" s="2"/>
    </row>
    <row r="7" spans="1:12">
      <c r="A7" s="7">
        <f>DATE($A$3,$B$3,2)</f>
        <v>43133</v>
      </c>
      <c r="B7" s="31">
        <f t="shared" ref="B7:B36" si="1">WEEKDAY(A7)</f>
        <v>6</v>
      </c>
      <c r="C7" s="8" t="s">
        <v>10</v>
      </c>
      <c r="D7" s="11">
        <v>0.375</v>
      </c>
      <c r="E7" s="11">
        <v>0.79166666666666663</v>
      </c>
      <c r="F7" s="11">
        <v>4.1666666666666664E-2</v>
      </c>
      <c r="G7" s="29">
        <f t="shared" ref="G7" si="2">E7-D7</f>
        <v>0.41666666666666663</v>
      </c>
      <c r="H7" s="5">
        <f t="shared" si="0"/>
        <v>0.37499999999999994</v>
      </c>
      <c r="I7" s="4"/>
      <c r="J7" s="4" t="s">
        <v>14</v>
      </c>
    </row>
    <row r="8" spans="1:12">
      <c r="A8" s="12">
        <f>DATE($A$3,$B$3,3)</f>
        <v>43134</v>
      </c>
      <c r="B8" s="31">
        <f t="shared" si="1"/>
        <v>7</v>
      </c>
      <c r="C8" s="9" t="s">
        <v>11</v>
      </c>
      <c r="D8" s="13"/>
      <c r="E8" s="13"/>
      <c r="F8" s="13"/>
      <c r="G8" s="29"/>
      <c r="H8" s="13" t="str">
        <f t="shared" si="0"/>
        <v/>
      </c>
      <c r="I8" s="9"/>
      <c r="J8" s="9"/>
    </row>
    <row r="9" spans="1:12" ht="21.75">
      <c r="A9" s="14">
        <f>DATE($A$3,$B$3,4)</f>
        <v>43135</v>
      </c>
      <c r="B9" s="31">
        <f t="shared" si="1"/>
        <v>1</v>
      </c>
      <c r="C9" s="10" t="s">
        <v>12</v>
      </c>
      <c r="D9" s="15"/>
      <c r="E9" s="15"/>
      <c r="F9" s="15"/>
      <c r="G9" s="29"/>
      <c r="H9" s="15" t="str">
        <f t="shared" si="0"/>
        <v/>
      </c>
      <c r="I9" s="10"/>
      <c r="J9" s="10"/>
      <c r="K9" s="2" t="s">
        <v>5</v>
      </c>
    </row>
    <row r="10" spans="1:12">
      <c r="A10" s="7">
        <f>DATE($A3,$B3,5)</f>
        <v>43136</v>
      </c>
      <c r="B10" s="31">
        <f t="shared" si="1"/>
        <v>2</v>
      </c>
      <c r="C10" s="8" t="s">
        <v>6</v>
      </c>
      <c r="D10" s="11">
        <v>0.375</v>
      </c>
      <c r="E10" s="11">
        <v>0.79166666666666663</v>
      </c>
      <c r="F10" s="11">
        <v>4.1666666666666664E-2</v>
      </c>
      <c r="G10" s="29">
        <f t="shared" ref="G10:G21" si="3">E10-D10</f>
        <v>0.41666666666666663</v>
      </c>
      <c r="H10" s="5">
        <f t="shared" si="0"/>
        <v>0.37499999999999994</v>
      </c>
      <c r="I10" s="4"/>
      <c r="J10" s="4" t="s">
        <v>15</v>
      </c>
    </row>
    <row r="11" spans="1:12">
      <c r="A11" s="16">
        <f>DATE($A3,$B3,6)</f>
        <v>43137</v>
      </c>
      <c r="B11" s="31">
        <f t="shared" si="1"/>
        <v>3</v>
      </c>
      <c r="C11" s="17" t="s">
        <v>7</v>
      </c>
      <c r="D11" s="18"/>
      <c r="E11" s="18"/>
      <c r="F11" s="18"/>
      <c r="G11" s="29"/>
      <c r="H11" s="18" t="str">
        <f t="shared" si="0"/>
        <v/>
      </c>
      <c r="I11" s="17"/>
      <c r="J11" s="17" t="s">
        <v>23</v>
      </c>
    </row>
    <row r="12" spans="1:12">
      <c r="A12" s="16">
        <f>DATE($A3,$B3,7)</f>
        <v>43138</v>
      </c>
      <c r="B12" s="31">
        <f t="shared" si="1"/>
        <v>4</v>
      </c>
      <c r="C12" s="17" t="s">
        <v>8</v>
      </c>
      <c r="D12" s="18"/>
      <c r="E12" s="18"/>
      <c r="F12" s="18"/>
      <c r="G12" s="29"/>
      <c r="H12" s="18" t="str">
        <f t="shared" si="0"/>
        <v/>
      </c>
      <c r="I12" s="17"/>
      <c r="J12" s="17" t="s">
        <v>23</v>
      </c>
      <c r="L12" s="3"/>
    </row>
    <row r="13" spans="1:12" ht="37.5">
      <c r="A13" s="7">
        <f>DATE($A3,$B3,8)</f>
        <v>43139</v>
      </c>
      <c r="B13" s="31">
        <f t="shared" si="1"/>
        <v>5</v>
      </c>
      <c r="C13" s="8" t="s">
        <v>9</v>
      </c>
      <c r="D13" s="11">
        <v>0.375</v>
      </c>
      <c r="E13" s="11">
        <v>0.8125</v>
      </c>
      <c r="F13" s="11">
        <v>4.1666666666666664E-2</v>
      </c>
      <c r="G13" s="29">
        <f t="shared" si="3"/>
        <v>0.4375</v>
      </c>
      <c r="H13" s="5">
        <f t="shared" si="0"/>
        <v>0.39583333333333331</v>
      </c>
      <c r="I13" s="4"/>
      <c r="J13" s="6" t="s">
        <v>16</v>
      </c>
    </row>
    <row r="14" spans="1:12">
      <c r="A14" s="7">
        <f>DATE($A3,$B3,9)</f>
        <v>43140</v>
      </c>
      <c r="B14" s="31">
        <f t="shared" si="1"/>
        <v>6</v>
      </c>
      <c r="C14" s="8" t="s">
        <v>10</v>
      </c>
      <c r="D14" s="11">
        <v>0.375</v>
      </c>
      <c r="E14" s="11">
        <v>0.77083333333333337</v>
      </c>
      <c r="F14" s="11">
        <v>4.1666666666666664E-2</v>
      </c>
      <c r="G14" s="29">
        <f t="shared" si="3"/>
        <v>0.39583333333333337</v>
      </c>
      <c r="H14" s="5">
        <f t="shared" si="0"/>
        <v>0.35416666666666669</v>
      </c>
      <c r="I14" s="4"/>
      <c r="J14" s="4" t="s">
        <v>20</v>
      </c>
    </row>
    <row r="15" spans="1:12">
      <c r="A15" s="12">
        <f>DATE($A3,$B3,10)</f>
        <v>43141</v>
      </c>
      <c r="B15" s="31">
        <f t="shared" si="1"/>
        <v>7</v>
      </c>
      <c r="C15" s="9" t="s">
        <v>11</v>
      </c>
      <c r="D15" s="13"/>
      <c r="E15" s="13"/>
      <c r="F15" s="13"/>
      <c r="G15" s="29"/>
      <c r="H15" s="13" t="str">
        <f t="shared" si="0"/>
        <v/>
      </c>
      <c r="I15" s="9"/>
      <c r="J15" s="9"/>
    </row>
    <row r="16" spans="1:12">
      <c r="A16" s="14">
        <f>DATE($A3,$B3,11)</f>
        <v>43142</v>
      </c>
      <c r="B16" s="31">
        <f t="shared" si="1"/>
        <v>1</v>
      </c>
      <c r="C16" s="10" t="s">
        <v>12</v>
      </c>
      <c r="D16" s="15"/>
      <c r="E16" s="15"/>
      <c r="F16" s="15"/>
      <c r="G16" s="29"/>
      <c r="H16" s="15" t="str">
        <f t="shared" si="0"/>
        <v/>
      </c>
      <c r="I16" s="10"/>
      <c r="J16" s="10"/>
    </row>
    <row r="17" spans="1:10">
      <c r="A17" s="14">
        <f>DATE($A3,$B3,12)</f>
        <v>43143</v>
      </c>
      <c r="B17" s="31">
        <f t="shared" si="1"/>
        <v>2</v>
      </c>
      <c r="C17" s="10" t="s">
        <v>6</v>
      </c>
      <c r="D17" s="15"/>
      <c r="E17" s="15"/>
      <c r="F17" s="15">
        <v>4.1666666666666664E-2</v>
      </c>
      <c r="G17" s="29">
        <f t="shared" si="3"/>
        <v>0</v>
      </c>
      <c r="H17" s="15" t="str">
        <f>IF(D17="","",G17-F17)</f>
        <v/>
      </c>
      <c r="I17" s="10"/>
      <c r="J17" s="10" t="s">
        <v>21</v>
      </c>
    </row>
    <row r="18" spans="1:10">
      <c r="A18" s="14">
        <f>DATE($A3,$B3,13)</f>
        <v>43144</v>
      </c>
      <c r="B18" s="31">
        <f t="shared" si="1"/>
        <v>3</v>
      </c>
      <c r="C18" s="10" t="s">
        <v>7</v>
      </c>
      <c r="D18" s="15"/>
      <c r="E18" s="15"/>
      <c r="F18" s="15">
        <v>4.1666666666666664E-2</v>
      </c>
      <c r="G18" s="29">
        <f t="shared" si="3"/>
        <v>0</v>
      </c>
      <c r="H18" s="15" t="str">
        <f t="shared" ref="H18:H35" si="4">IF(D18="","",G18-F18)</f>
        <v/>
      </c>
      <c r="I18" s="10"/>
      <c r="J18" s="10" t="s">
        <v>22</v>
      </c>
    </row>
    <row r="19" spans="1:10">
      <c r="A19" s="14">
        <f>DATE($A3,$B3,14)</f>
        <v>43145</v>
      </c>
      <c r="B19" s="31">
        <f t="shared" si="1"/>
        <v>4</v>
      </c>
      <c r="C19" s="10" t="s">
        <v>8</v>
      </c>
      <c r="D19" s="15"/>
      <c r="E19" s="15"/>
      <c r="F19" s="15">
        <v>4.1666666666666664E-2</v>
      </c>
      <c r="G19" s="29">
        <f t="shared" si="3"/>
        <v>0</v>
      </c>
      <c r="H19" s="15" t="str">
        <f t="shared" si="4"/>
        <v/>
      </c>
      <c r="I19" s="10"/>
      <c r="J19" s="10" t="s">
        <v>22</v>
      </c>
    </row>
    <row r="20" spans="1:10">
      <c r="A20" s="14">
        <f>DATE($A3,$B3,15)</f>
        <v>43146</v>
      </c>
      <c r="B20" s="31">
        <f t="shared" si="1"/>
        <v>5</v>
      </c>
      <c r="C20" s="10" t="s">
        <v>9</v>
      </c>
      <c r="D20" s="15"/>
      <c r="E20" s="15"/>
      <c r="F20" s="15">
        <v>4.1666666666666664E-2</v>
      </c>
      <c r="G20" s="29">
        <f t="shared" si="3"/>
        <v>0</v>
      </c>
      <c r="H20" s="15" t="str">
        <f t="shared" si="4"/>
        <v/>
      </c>
      <c r="I20" s="10"/>
      <c r="J20" s="10" t="s">
        <v>22</v>
      </c>
    </row>
    <row r="21" spans="1:10">
      <c r="A21" s="7">
        <f>DATE($A3,$B3,16)</f>
        <v>43147</v>
      </c>
      <c r="B21" s="31">
        <f t="shared" si="1"/>
        <v>6</v>
      </c>
      <c r="C21" s="8" t="s">
        <v>10</v>
      </c>
      <c r="D21" s="11">
        <v>0.375</v>
      </c>
      <c r="E21" s="11">
        <v>0.8125</v>
      </c>
      <c r="F21" s="11">
        <v>4.1666666666666664E-2</v>
      </c>
      <c r="G21" s="29">
        <f t="shared" si="3"/>
        <v>0.4375</v>
      </c>
      <c r="H21" s="5">
        <f t="shared" si="4"/>
        <v>0.39583333333333331</v>
      </c>
      <c r="I21" s="4"/>
      <c r="J21" s="4" t="s">
        <v>24</v>
      </c>
    </row>
    <row r="22" spans="1:10">
      <c r="A22" s="12">
        <f>DATE($A3,$B3,17)</f>
        <v>43148</v>
      </c>
      <c r="B22" s="31">
        <f t="shared" si="1"/>
        <v>7</v>
      </c>
      <c r="C22" s="9" t="s">
        <v>11</v>
      </c>
      <c r="D22" s="13"/>
      <c r="E22" s="13"/>
      <c r="F22" s="13"/>
      <c r="G22" s="29"/>
      <c r="H22" s="13" t="str">
        <f t="shared" si="4"/>
        <v/>
      </c>
      <c r="I22" s="9"/>
      <c r="J22" s="9"/>
    </row>
    <row r="23" spans="1:10">
      <c r="A23" s="14">
        <f>DATE($A3,$B3,18)</f>
        <v>43149</v>
      </c>
      <c r="B23" s="31">
        <f t="shared" si="1"/>
        <v>1</v>
      </c>
      <c r="C23" s="10" t="s">
        <v>12</v>
      </c>
      <c r="D23" s="15"/>
      <c r="E23" s="15"/>
      <c r="F23" s="15"/>
      <c r="G23" s="29"/>
      <c r="H23" s="15" t="str">
        <f t="shared" si="4"/>
        <v/>
      </c>
      <c r="I23" s="10"/>
      <c r="J23" s="10"/>
    </row>
    <row r="24" spans="1:10">
      <c r="A24" s="7">
        <f>DATE($A3,$B3,19)</f>
        <v>43150</v>
      </c>
      <c r="B24" s="31">
        <f t="shared" si="1"/>
        <v>2</v>
      </c>
      <c r="C24" s="8" t="s">
        <v>6</v>
      </c>
      <c r="D24" s="11">
        <v>0.375</v>
      </c>
      <c r="E24" s="11">
        <v>0.83333333333333337</v>
      </c>
      <c r="F24" s="11">
        <v>4.1666666666666664E-2</v>
      </c>
      <c r="G24" s="29">
        <f t="shared" ref="G24:G35" si="5">E24-D24</f>
        <v>0.45833333333333337</v>
      </c>
      <c r="H24" s="5">
        <f t="shared" si="4"/>
        <v>0.41666666666666669</v>
      </c>
      <c r="I24" s="4"/>
      <c r="J24" s="4" t="s">
        <v>25</v>
      </c>
    </row>
    <row r="25" spans="1:10">
      <c r="A25" s="7">
        <f>DATE($A3,$B3,20)</f>
        <v>43151</v>
      </c>
      <c r="B25" s="31">
        <f t="shared" si="1"/>
        <v>3</v>
      </c>
      <c r="C25" s="8" t="s">
        <v>7</v>
      </c>
      <c r="D25" s="11">
        <v>0.375</v>
      </c>
      <c r="E25" s="11">
        <v>0.83333333333333337</v>
      </c>
      <c r="F25" s="11">
        <v>4.1666666666666664E-2</v>
      </c>
      <c r="G25" s="29">
        <f t="shared" si="5"/>
        <v>0.45833333333333337</v>
      </c>
      <c r="H25" s="5">
        <f t="shared" si="4"/>
        <v>0.41666666666666669</v>
      </c>
      <c r="I25" s="4"/>
      <c r="J25" s="4" t="s">
        <v>26</v>
      </c>
    </row>
    <row r="26" spans="1:10">
      <c r="A26" s="7">
        <f>DATE($A3,$B3,21)</f>
        <v>43152</v>
      </c>
      <c r="B26" s="31">
        <f t="shared" si="1"/>
        <v>4</v>
      </c>
      <c r="C26" s="8" t="s">
        <v>8</v>
      </c>
      <c r="D26" s="11">
        <v>0.47916666666666669</v>
      </c>
      <c r="E26" s="11">
        <v>0.875</v>
      </c>
      <c r="F26" s="11">
        <v>4.1666666666666664E-2</v>
      </c>
      <c r="G26" s="29">
        <f t="shared" si="5"/>
        <v>0.39583333333333331</v>
      </c>
      <c r="H26" s="5">
        <f t="shared" si="4"/>
        <v>0.35416666666666663</v>
      </c>
      <c r="I26" s="4"/>
      <c r="J26" s="4" t="s">
        <v>27</v>
      </c>
    </row>
    <row r="27" spans="1:10">
      <c r="A27" s="7">
        <f>DATE($A3,$B3,22)</f>
        <v>43153</v>
      </c>
      <c r="B27" s="31">
        <f t="shared" si="1"/>
        <v>5</v>
      </c>
      <c r="C27" s="8" t="s">
        <v>9</v>
      </c>
      <c r="D27" s="11">
        <v>0.375</v>
      </c>
      <c r="E27" s="11">
        <v>0.85416666666666663</v>
      </c>
      <c r="F27" s="11">
        <v>4.1666666666666664E-2</v>
      </c>
      <c r="G27" s="29">
        <f t="shared" si="5"/>
        <v>0.47916666666666663</v>
      </c>
      <c r="H27" s="5">
        <f t="shared" si="4"/>
        <v>0.43749999999999994</v>
      </c>
      <c r="I27" s="4"/>
      <c r="J27" s="4" t="s">
        <v>29</v>
      </c>
    </row>
    <row r="28" spans="1:10">
      <c r="A28" s="7">
        <f>DATE($A3,$B3,23)</f>
        <v>43154</v>
      </c>
      <c r="B28" s="31">
        <f t="shared" si="1"/>
        <v>6</v>
      </c>
      <c r="C28" s="8" t="s">
        <v>10</v>
      </c>
      <c r="D28" s="11">
        <v>0.375</v>
      </c>
      <c r="E28" s="11">
        <v>0.83333333333333337</v>
      </c>
      <c r="F28" s="11">
        <v>4.1666666666666664E-2</v>
      </c>
      <c r="G28" s="29">
        <f t="shared" si="5"/>
        <v>0.45833333333333337</v>
      </c>
      <c r="H28" s="5">
        <f t="shared" si="4"/>
        <v>0.41666666666666669</v>
      </c>
      <c r="I28" s="4"/>
      <c r="J28" s="4" t="s">
        <v>28</v>
      </c>
    </row>
    <row r="29" spans="1:10">
      <c r="A29" s="12">
        <f>DATE($A3,$B3,24)</f>
        <v>43155</v>
      </c>
      <c r="B29" s="31">
        <f t="shared" si="1"/>
        <v>7</v>
      </c>
      <c r="C29" s="9" t="s">
        <v>11</v>
      </c>
      <c r="D29" s="13"/>
      <c r="E29" s="13"/>
      <c r="F29" s="13"/>
      <c r="G29" s="29"/>
      <c r="H29" s="13" t="str">
        <f t="shared" si="4"/>
        <v/>
      </c>
      <c r="I29" s="9"/>
      <c r="J29" s="9"/>
    </row>
    <row r="30" spans="1:10">
      <c r="A30" s="14">
        <f>DATE($A3,$B3,25)</f>
        <v>43156</v>
      </c>
      <c r="B30" s="31">
        <f t="shared" si="1"/>
        <v>1</v>
      </c>
      <c r="C30" s="10" t="s">
        <v>12</v>
      </c>
      <c r="D30" s="15"/>
      <c r="E30" s="15"/>
      <c r="F30" s="15"/>
      <c r="G30" s="29"/>
      <c r="H30" s="15" t="str">
        <f t="shared" si="4"/>
        <v/>
      </c>
      <c r="I30" s="10"/>
      <c r="J30" s="10"/>
    </row>
    <row r="31" spans="1:10">
      <c r="A31" s="7">
        <f>DATE($A3,$B3,26)</f>
        <v>43157</v>
      </c>
      <c r="B31" s="31">
        <f t="shared" si="1"/>
        <v>2</v>
      </c>
      <c r="C31" s="8" t="s">
        <v>6</v>
      </c>
      <c r="D31" s="11">
        <v>0.375</v>
      </c>
      <c r="E31" s="11">
        <v>0.875</v>
      </c>
      <c r="F31" s="11">
        <v>4.1666666666666664E-2</v>
      </c>
      <c r="G31" s="29">
        <f t="shared" si="5"/>
        <v>0.5</v>
      </c>
      <c r="H31" s="5">
        <f t="shared" si="4"/>
        <v>0.45833333333333331</v>
      </c>
      <c r="I31" s="4"/>
      <c r="J31" s="4" t="s">
        <v>30</v>
      </c>
    </row>
    <row r="32" spans="1:10">
      <c r="A32" s="7">
        <f>DATE($A3,$B3,27)</f>
        <v>43158</v>
      </c>
      <c r="B32" s="31">
        <f t="shared" si="1"/>
        <v>3</v>
      </c>
      <c r="C32" s="8" t="s">
        <v>7</v>
      </c>
      <c r="D32" s="11">
        <v>0.375</v>
      </c>
      <c r="E32" s="11">
        <v>0.83333333333333337</v>
      </c>
      <c r="F32" s="11">
        <v>4.1666666666666664E-2</v>
      </c>
      <c r="G32" s="29">
        <f t="shared" si="5"/>
        <v>0.45833333333333337</v>
      </c>
      <c r="H32" s="5">
        <f t="shared" si="4"/>
        <v>0.41666666666666669</v>
      </c>
      <c r="I32" s="4"/>
      <c r="J32" s="4" t="s">
        <v>31</v>
      </c>
    </row>
    <row r="33" spans="1:10">
      <c r="A33" s="7">
        <f>DATE($A3,$B3,28)</f>
        <v>43159</v>
      </c>
      <c r="B33" s="31">
        <f>WEEKDAY(A33)</f>
        <v>4</v>
      </c>
      <c r="C33" s="8" t="s">
        <v>8</v>
      </c>
      <c r="D33" s="11">
        <v>0.375</v>
      </c>
      <c r="E33" s="11">
        <v>0.85416666666666663</v>
      </c>
      <c r="F33" s="11">
        <v>4.1666666666666664E-2</v>
      </c>
      <c r="G33" s="29">
        <f t="shared" si="5"/>
        <v>0.47916666666666663</v>
      </c>
      <c r="H33" s="5">
        <f t="shared" si="4"/>
        <v>0.43749999999999994</v>
      </c>
      <c r="I33" s="4"/>
      <c r="J33" s="4" t="s">
        <v>32</v>
      </c>
    </row>
    <row r="34" spans="1:10">
      <c r="A34" s="25">
        <f>DATE($A3,$B3,29)</f>
        <v>43160</v>
      </c>
      <c r="B34" s="31">
        <f t="shared" si="1"/>
        <v>5</v>
      </c>
      <c r="C34" s="26" t="s">
        <v>9</v>
      </c>
      <c r="D34" s="27"/>
      <c r="E34" s="27"/>
      <c r="F34" s="27">
        <v>4.1666666666666664E-2</v>
      </c>
      <c r="G34" s="27">
        <f t="shared" si="5"/>
        <v>0</v>
      </c>
      <c r="H34" s="27" t="str">
        <f t="shared" si="4"/>
        <v/>
      </c>
      <c r="I34" s="26"/>
      <c r="J34" s="26"/>
    </row>
    <row r="35" spans="1:10">
      <c r="A35" s="25">
        <f>DATE($A3,$B3,30)</f>
        <v>43161</v>
      </c>
      <c r="B35" s="31">
        <f t="shared" si="1"/>
        <v>6</v>
      </c>
      <c r="C35" s="26" t="s">
        <v>10</v>
      </c>
      <c r="D35" s="27"/>
      <c r="E35" s="27"/>
      <c r="F35" s="27">
        <v>4.1666666666666664E-2</v>
      </c>
      <c r="G35" s="27">
        <f t="shared" si="5"/>
        <v>0</v>
      </c>
      <c r="H35" s="27" t="str">
        <f t="shared" si="4"/>
        <v/>
      </c>
      <c r="I35" s="26"/>
      <c r="J35" s="26"/>
    </row>
    <row r="36" spans="1:10">
      <c r="A36" s="12">
        <f>DATE($A3,$B3,31)</f>
        <v>43162</v>
      </c>
      <c r="B36" s="31">
        <f t="shared" si="1"/>
        <v>7</v>
      </c>
      <c r="C36" s="9" t="s">
        <v>11</v>
      </c>
      <c r="D36" s="13"/>
      <c r="E36" s="13"/>
      <c r="F36" s="13"/>
      <c r="G36" s="13"/>
      <c r="H36" s="13"/>
      <c r="I36" s="9"/>
      <c r="J36" s="9"/>
    </row>
    <row r="37" spans="1:10">
      <c r="H37" s="1"/>
    </row>
    <row r="38" spans="1:10">
      <c r="H38" s="3">
        <f>SUM(H6:H36)</f>
        <v>5.583333333333333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6031-5977-4BE9-9CC3-53CEEF867E8F}">
  <sheetPr codeName="Sheet3"/>
  <dimension ref="A2:L38"/>
  <sheetViews>
    <sheetView zoomScale="85" zoomScaleNormal="85" workbookViewId="0">
      <selection activeCell="A6" sqref="A6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106.7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3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7">
        <f>DATE($A$3,$B$3,1)</f>
        <v>43160</v>
      </c>
      <c r="B6" s="37">
        <f>WEEKDAY(A6)</f>
        <v>5</v>
      </c>
      <c r="C6" s="8" t="s">
        <v>19</v>
      </c>
      <c r="D6" s="24">
        <v>0.39583333333333331</v>
      </c>
      <c r="E6" s="24">
        <v>0.77083333333333337</v>
      </c>
      <c r="F6" s="11">
        <v>4.1666666666666664E-2</v>
      </c>
      <c r="G6" s="38">
        <f>E6-D6</f>
        <v>0.37500000000000006</v>
      </c>
      <c r="H6" s="11">
        <f t="shared" ref="H6:H16" si="0">IF(D6="","",G6-F6)</f>
        <v>0.33333333333333337</v>
      </c>
      <c r="I6" s="8"/>
      <c r="J6" s="8" t="s">
        <v>35</v>
      </c>
      <c r="K6" s="20"/>
    </row>
    <row r="7" spans="1:12">
      <c r="A7" s="7">
        <f>DATE($A$3,$B$3,2)</f>
        <v>43161</v>
      </c>
      <c r="B7" s="37">
        <f t="shared" ref="B7:B36" si="1">WEEKDAY(A7)</f>
        <v>6</v>
      </c>
      <c r="C7" s="8" t="s">
        <v>10</v>
      </c>
      <c r="D7" s="24">
        <v>0.375</v>
      </c>
      <c r="E7" s="24">
        <v>0.79166666666666663</v>
      </c>
      <c r="F7" s="11">
        <v>4.1666666666666664E-2</v>
      </c>
      <c r="G7" s="38">
        <f t="shared" ref="G7:G36" si="2">E7-D7</f>
        <v>0.41666666666666663</v>
      </c>
      <c r="H7" s="11">
        <f t="shared" si="0"/>
        <v>0.37499999999999994</v>
      </c>
      <c r="I7" s="8"/>
      <c r="J7" s="8" t="s">
        <v>34</v>
      </c>
    </row>
    <row r="8" spans="1:12">
      <c r="A8" s="12">
        <f>DATE($A$3,$B$3,3)</f>
        <v>43162</v>
      </c>
      <c r="B8" s="37">
        <f t="shared" si="1"/>
        <v>7</v>
      </c>
      <c r="C8" s="9" t="s">
        <v>11</v>
      </c>
      <c r="D8" s="32"/>
      <c r="E8" s="32"/>
      <c r="F8" s="13">
        <v>4.1666666666666664E-2</v>
      </c>
      <c r="G8" s="38">
        <f t="shared" si="2"/>
        <v>0</v>
      </c>
      <c r="H8" s="13" t="str">
        <f t="shared" si="0"/>
        <v/>
      </c>
      <c r="I8" s="9"/>
      <c r="J8" s="9"/>
      <c r="K8" s="33"/>
    </row>
    <row r="9" spans="1:12" ht="21.75">
      <c r="A9" s="14">
        <f>DATE($A$3,$B$3,4)</f>
        <v>43163</v>
      </c>
      <c r="B9" s="37">
        <f t="shared" si="1"/>
        <v>1</v>
      </c>
      <c r="C9" s="10" t="s">
        <v>12</v>
      </c>
      <c r="D9" s="34"/>
      <c r="E9" s="34"/>
      <c r="F9" s="15">
        <v>4.1666666666666664E-2</v>
      </c>
      <c r="G9" s="38">
        <f t="shared" si="2"/>
        <v>0</v>
      </c>
      <c r="H9" s="15" t="str">
        <f t="shared" si="0"/>
        <v/>
      </c>
      <c r="I9" s="10"/>
      <c r="J9" s="10"/>
      <c r="K9" s="35" t="s">
        <v>5</v>
      </c>
    </row>
    <row r="10" spans="1:12">
      <c r="A10" s="7">
        <f>DATE($A3,$B3,5)</f>
        <v>43164</v>
      </c>
      <c r="B10" s="37">
        <f t="shared" si="1"/>
        <v>2</v>
      </c>
      <c r="C10" s="8" t="s">
        <v>6</v>
      </c>
      <c r="D10" s="24">
        <v>0.375</v>
      </c>
      <c r="E10" s="24">
        <v>0.8125</v>
      </c>
      <c r="F10" s="11">
        <v>4.1666666666666664E-2</v>
      </c>
      <c r="G10" s="38">
        <f t="shared" si="2"/>
        <v>0.4375</v>
      </c>
      <c r="H10" s="11">
        <f t="shared" si="0"/>
        <v>0.39583333333333331</v>
      </c>
      <c r="I10" s="8"/>
      <c r="J10" s="8" t="s">
        <v>33</v>
      </c>
    </row>
    <row r="11" spans="1:12">
      <c r="A11" s="7">
        <f>DATE($A3,$B3,6)</f>
        <v>43165</v>
      </c>
      <c r="B11" s="37">
        <f t="shared" si="1"/>
        <v>3</v>
      </c>
      <c r="C11" s="8" t="s">
        <v>7</v>
      </c>
      <c r="D11" s="24">
        <v>0.375</v>
      </c>
      <c r="E11" s="24">
        <v>0.75</v>
      </c>
      <c r="F11" s="11">
        <v>4.1666666666666664E-2</v>
      </c>
      <c r="G11" s="38">
        <f t="shared" si="2"/>
        <v>0.375</v>
      </c>
      <c r="H11" s="11">
        <f t="shared" si="0"/>
        <v>0.33333333333333331</v>
      </c>
      <c r="I11" s="8"/>
      <c r="J11" s="8" t="s">
        <v>36</v>
      </c>
    </row>
    <row r="12" spans="1:12">
      <c r="A12" s="7">
        <f>DATE($A3,$B3,7)</f>
        <v>43166</v>
      </c>
      <c r="B12" s="37">
        <f t="shared" si="1"/>
        <v>4</v>
      </c>
      <c r="C12" s="8" t="s">
        <v>8</v>
      </c>
      <c r="D12" s="24">
        <v>0.375</v>
      </c>
      <c r="E12" s="24">
        <v>0.8125</v>
      </c>
      <c r="F12" s="11">
        <v>4.1666666666666664E-2</v>
      </c>
      <c r="G12" s="38">
        <f t="shared" si="2"/>
        <v>0.4375</v>
      </c>
      <c r="H12" s="11">
        <f t="shared" si="0"/>
        <v>0.39583333333333331</v>
      </c>
      <c r="I12" s="8"/>
      <c r="J12" s="8" t="s">
        <v>37</v>
      </c>
      <c r="L12" s="21"/>
    </row>
    <row r="13" spans="1:12">
      <c r="A13" s="7">
        <f>DATE($A3,$B3,8)</f>
        <v>43167</v>
      </c>
      <c r="B13" s="37">
        <f t="shared" si="1"/>
        <v>5</v>
      </c>
      <c r="C13" s="8" t="s">
        <v>9</v>
      </c>
      <c r="D13" s="24">
        <v>0.375</v>
      </c>
      <c r="E13" s="24">
        <v>0.79166666666666663</v>
      </c>
      <c r="F13" s="11">
        <v>4.1666666666666664E-2</v>
      </c>
      <c r="G13" s="38">
        <f t="shared" si="2"/>
        <v>0.41666666666666663</v>
      </c>
      <c r="H13" s="11">
        <f t="shared" si="0"/>
        <v>0.37499999999999994</v>
      </c>
      <c r="I13" s="8"/>
      <c r="J13" s="22" t="s">
        <v>38</v>
      </c>
    </row>
    <row r="14" spans="1:12">
      <c r="A14" s="7">
        <f>DATE($A3,$B3,9)</f>
        <v>43168</v>
      </c>
      <c r="B14" s="37">
        <f t="shared" si="1"/>
        <v>6</v>
      </c>
      <c r="C14" s="8" t="s">
        <v>10</v>
      </c>
      <c r="D14" s="24">
        <v>0.375</v>
      </c>
      <c r="E14" s="24">
        <v>0.58333333333333337</v>
      </c>
      <c r="F14" s="11">
        <v>4.1666666666666664E-2</v>
      </c>
      <c r="G14" s="38">
        <f t="shared" si="2"/>
        <v>0.20833333333333337</v>
      </c>
      <c r="H14" s="11">
        <f>IF(D14="","",G14-F14)</f>
        <v>0.16666666666666671</v>
      </c>
      <c r="I14" s="8"/>
      <c r="J14" s="22" t="s">
        <v>39</v>
      </c>
    </row>
    <row r="15" spans="1:12">
      <c r="A15" s="12">
        <f>DATE($A3,$B3,10)</f>
        <v>43169</v>
      </c>
      <c r="B15" s="37">
        <f t="shared" si="1"/>
        <v>7</v>
      </c>
      <c r="C15" s="9" t="s">
        <v>11</v>
      </c>
      <c r="D15" s="32"/>
      <c r="E15" s="32"/>
      <c r="F15" s="13">
        <v>4.1666666666666664E-2</v>
      </c>
      <c r="G15" s="38">
        <f t="shared" si="2"/>
        <v>0</v>
      </c>
      <c r="H15" s="13" t="str">
        <f t="shared" si="0"/>
        <v/>
      </c>
      <c r="I15" s="9"/>
      <c r="J15" s="9"/>
      <c r="K15" s="33"/>
    </row>
    <row r="16" spans="1:12">
      <c r="A16" s="14">
        <f>DATE($A3,$B3,11)</f>
        <v>43170</v>
      </c>
      <c r="B16" s="37">
        <f t="shared" si="1"/>
        <v>1</v>
      </c>
      <c r="C16" s="10" t="s">
        <v>12</v>
      </c>
      <c r="D16" s="34"/>
      <c r="E16" s="34"/>
      <c r="F16" s="15">
        <v>4.1666666666666664E-2</v>
      </c>
      <c r="G16" s="38">
        <f t="shared" si="2"/>
        <v>0</v>
      </c>
      <c r="H16" s="15" t="str">
        <f t="shared" si="0"/>
        <v/>
      </c>
      <c r="I16" s="10"/>
      <c r="J16" s="10"/>
      <c r="K16" s="36"/>
    </row>
    <row r="17" spans="1:11">
      <c r="A17" s="7">
        <f>DATE($A3,$B3,12)</f>
        <v>43171</v>
      </c>
      <c r="B17" s="37">
        <f t="shared" si="1"/>
        <v>2</v>
      </c>
      <c r="C17" s="8" t="s">
        <v>6</v>
      </c>
      <c r="D17" s="24">
        <v>0.375</v>
      </c>
      <c r="E17" s="24">
        <v>0.79166666666666663</v>
      </c>
      <c r="F17" s="11">
        <v>4.1666666666666664E-2</v>
      </c>
      <c r="G17" s="38">
        <f t="shared" si="2"/>
        <v>0.41666666666666663</v>
      </c>
      <c r="H17" s="11">
        <f>IF(D17="","",G17-F17)</f>
        <v>0.37499999999999994</v>
      </c>
      <c r="I17" s="8"/>
      <c r="J17" s="22" t="s">
        <v>40</v>
      </c>
    </row>
    <row r="18" spans="1:11">
      <c r="A18" s="7">
        <f>DATE($A3,$B3,13)</f>
        <v>43172</v>
      </c>
      <c r="B18" s="37">
        <f t="shared" si="1"/>
        <v>3</v>
      </c>
      <c r="C18" s="8" t="s">
        <v>7</v>
      </c>
      <c r="D18" s="24">
        <v>0.375</v>
      </c>
      <c r="E18" s="39">
        <v>0.77083333333333337</v>
      </c>
      <c r="F18" s="11">
        <v>4.1666666666666664E-2</v>
      </c>
      <c r="G18" s="38">
        <f t="shared" si="2"/>
        <v>0.39583333333333337</v>
      </c>
      <c r="H18" s="11">
        <f t="shared" ref="H18:H35" si="3">IF(D18="","",G18-F18)</f>
        <v>0.35416666666666669</v>
      </c>
      <c r="I18" s="8"/>
      <c r="J18" s="8" t="s">
        <v>41</v>
      </c>
    </row>
    <row r="19" spans="1:11">
      <c r="A19" s="7">
        <f>DATE($A3,$B3,14)</f>
        <v>43173</v>
      </c>
      <c r="B19" s="37">
        <f t="shared" si="1"/>
        <v>4</v>
      </c>
      <c r="C19" s="8" t="s">
        <v>8</v>
      </c>
      <c r="D19" s="24">
        <v>0.375</v>
      </c>
      <c r="E19" s="39">
        <v>0.77083333333333337</v>
      </c>
      <c r="F19" s="11">
        <v>4.1666666666666664E-2</v>
      </c>
      <c r="G19" s="38">
        <f t="shared" si="2"/>
        <v>0.39583333333333337</v>
      </c>
      <c r="H19" s="11">
        <f t="shared" si="3"/>
        <v>0.35416666666666669</v>
      </c>
      <c r="I19" s="8"/>
      <c r="J19" s="8" t="s">
        <v>42</v>
      </c>
    </row>
    <row r="20" spans="1:11">
      <c r="A20" s="7">
        <f>DATE($A3,$B3,15)</f>
        <v>43174</v>
      </c>
      <c r="B20" s="37">
        <f t="shared" si="1"/>
        <v>5</v>
      </c>
      <c r="C20" s="8" t="s">
        <v>9</v>
      </c>
      <c r="D20" s="24">
        <v>0.375</v>
      </c>
      <c r="E20" s="24">
        <v>0.75</v>
      </c>
      <c r="F20" s="11">
        <v>4.1666666666666664E-2</v>
      </c>
      <c r="G20" s="38">
        <f t="shared" si="2"/>
        <v>0.375</v>
      </c>
      <c r="H20" s="11">
        <f t="shared" si="3"/>
        <v>0.33333333333333331</v>
      </c>
      <c r="I20" s="8"/>
      <c r="J20" s="8" t="s">
        <v>43</v>
      </c>
    </row>
    <row r="21" spans="1:11">
      <c r="A21" s="7">
        <f>DATE($A3,$B3,16)</f>
        <v>43175</v>
      </c>
      <c r="B21" s="37">
        <f t="shared" si="1"/>
        <v>6</v>
      </c>
      <c r="C21" s="8" t="s">
        <v>10</v>
      </c>
      <c r="D21" s="24">
        <v>0.375</v>
      </c>
      <c r="E21" s="24">
        <v>0.79166666666666663</v>
      </c>
      <c r="F21" s="11">
        <v>4.1666666666666664E-2</v>
      </c>
      <c r="G21" s="38">
        <f t="shared" si="2"/>
        <v>0.41666666666666663</v>
      </c>
      <c r="H21" s="11">
        <f t="shared" si="3"/>
        <v>0.37499999999999994</v>
      </c>
      <c r="I21" s="8"/>
      <c r="J21" s="8" t="s">
        <v>44</v>
      </c>
    </row>
    <row r="22" spans="1:11">
      <c r="A22" s="12">
        <f>DATE($A3,$B3,17)</f>
        <v>43176</v>
      </c>
      <c r="B22" s="37">
        <f t="shared" si="1"/>
        <v>7</v>
      </c>
      <c r="C22" s="9" t="s">
        <v>11</v>
      </c>
      <c r="D22" s="32"/>
      <c r="E22" s="32"/>
      <c r="F22" s="13">
        <v>4.1666666666666664E-2</v>
      </c>
      <c r="G22" s="38">
        <f t="shared" si="2"/>
        <v>0</v>
      </c>
      <c r="H22" s="13" t="str">
        <f t="shared" si="3"/>
        <v/>
      </c>
      <c r="I22" s="9"/>
      <c r="J22" s="9"/>
      <c r="K22" s="33"/>
    </row>
    <row r="23" spans="1:11">
      <c r="A23" s="14">
        <f>DATE($A3,$B3,18)</f>
        <v>43177</v>
      </c>
      <c r="B23" s="37">
        <f t="shared" si="1"/>
        <v>1</v>
      </c>
      <c r="C23" s="10" t="s">
        <v>12</v>
      </c>
      <c r="D23" s="34"/>
      <c r="E23" s="34"/>
      <c r="F23" s="15">
        <v>4.1666666666666664E-2</v>
      </c>
      <c r="G23" s="38">
        <f t="shared" si="2"/>
        <v>0</v>
      </c>
      <c r="H23" s="15" t="str">
        <f t="shared" si="3"/>
        <v/>
      </c>
      <c r="I23" s="10"/>
      <c r="J23" s="10"/>
      <c r="K23" s="36"/>
    </row>
    <row r="24" spans="1:11">
      <c r="A24" s="7">
        <f>DATE($A3,$B3,19)</f>
        <v>43178</v>
      </c>
      <c r="B24" s="37">
        <f t="shared" si="1"/>
        <v>2</v>
      </c>
      <c r="C24" s="8" t="s">
        <v>6</v>
      </c>
      <c r="D24" s="24">
        <v>0.375</v>
      </c>
      <c r="E24" s="24">
        <v>0.75</v>
      </c>
      <c r="F24" s="11">
        <v>4.1666666666666664E-2</v>
      </c>
      <c r="G24" s="38">
        <f t="shared" si="2"/>
        <v>0.375</v>
      </c>
      <c r="H24" s="11">
        <f t="shared" si="3"/>
        <v>0.33333333333333331</v>
      </c>
      <c r="I24" s="8"/>
      <c r="J24" s="8" t="s">
        <v>45</v>
      </c>
    </row>
    <row r="25" spans="1:11">
      <c r="A25" s="7">
        <f>DATE($A3,$B3,20)</f>
        <v>43179</v>
      </c>
      <c r="B25" s="37">
        <f t="shared" si="1"/>
        <v>3</v>
      </c>
      <c r="C25" s="8" t="s">
        <v>7</v>
      </c>
      <c r="D25" s="24">
        <v>0.375</v>
      </c>
      <c r="E25" s="24">
        <v>0.75</v>
      </c>
      <c r="F25" s="11">
        <v>4.1666666666666664E-2</v>
      </c>
      <c r="G25" s="38">
        <f t="shared" si="2"/>
        <v>0.375</v>
      </c>
      <c r="H25" s="11">
        <f t="shared" si="3"/>
        <v>0.33333333333333331</v>
      </c>
      <c r="I25" s="8"/>
      <c r="J25" s="8" t="s">
        <v>46</v>
      </c>
    </row>
    <row r="26" spans="1:11">
      <c r="A26" s="40">
        <f>DATE($A3,$B3,21)</f>
        <v>43180</v>
      </c>
      <c r="B26" s="41">
        <f t="shared" si="1"/>
        <v>4</v>
      </c>
      <c r="C26" s="41" t="s">
        <v>8</v>
      </c>
      <c r="D26" s="42"/>
      <c r="E26" s="42"/>
      <c r="F26" s="43"/>
      <c r="G26" s="43">
        <f t="shared" si="2"/>
        <v>0</v>
      </c>
      <c r="H26" s="43" t="str">
        <f t="shared" si="3"/>
        <v/>
      </c>
      <c r="I26" s="41"/>
      <c r="J26" s="41"/>
      <c r="K26" s="44"/>
    </row>
    <row r="27" spans="1:11">
      <c r="A27" s="7">
        <f>DATE($A3,$B3,22)</f>
        <v>43181</v>
      </c>
      <c r="B27" s="37">
        <f t="shared" si="1"/>
        <v>5</v>
      </c>
      <c r="C27" s="8" t="s">
        <v>9</v>
      </c>
      <c r="D27" s="24">
        <v>0.375</v>
      </c>
      <c r="E27" s="39">
        <v>0.77083333333333337</v>
      </c>
      <c r="F27" s="11">
        <v>4.1666666666666664E-2</v>
      </c>
      <c r="G27" s="38">
        <f t="shared" si="2"/>
        <v>0.39583333333333337</v>
      </c>
      <c r="H27" s="11">
        <f t="shared" si="3"/>
        <v>0.35416666666666669</v>
      </c>
      <c r="I27" s="8"/>
      <c r="J27" s="8" t="s">
        <v>47</v>
      </c>
    </row>
    <row r="28" spans="1:11">
      <c r="A28" s="7">
        <f>DATE($A3,$B3,23)</f>
        <v>43182</v>
      </c>
      <c r="B28" s="37">
        <f t="shared" si="1"/>
        <v>6</v>
      </c>
      <c r="C28" s="8" t="s">
        <v>10</v>
      </c>
      <c r="D28" s="24">
        <v>0.375</v>
      </c>
      <c r="E28" s="39">
        <v>0.77083333333333337</v>
      </c>
      <c r="F28" s="11">
        <v>4.1666666666666664E-2</v>
      </c>
      <c r="G28" s="38">
        <f t="shared" si="2"/>
        <v>0.39583333333333337</v>
      </c>
      <c r="H28" s="11">
        <f t="shared" si="3"/>
        <v>0.35416666666666669</v>
      </c>
      <c r="I28" s="8"/>
      <c r="J28" s="8" t="s">
        <v>48</v>
      </c>
    </row>
    <row r="29" spans="1:11">
      <c r="A29" s="12">
        <f>DATE($A3,$B3,24)</f>
        <v>43183</v>
      </c>
      <c r="B29" s="37">
        <f t="shared" si="1"/>
        <v>7</v>
      </c>
      <c r="C29" s="9" t="s">
        <v>11</v>
      </c>
      <c r="D29" s="32"/>
      <c r="E29" s="32"/>
      <c r="F29" s="13">
        <v>4.1666666666666664E-2</v>
      </c>
      <c r="G29" s="38">
        <f t="shared" si="2"/>
        <v>0</v>
      </c>
      <c r="H29" s="13" t="str">
        <f t="shared" si="3"/>
        <v/>
      </c>
      <c r="I29" s="9"/>
      <c r="J29" s="9"/>
      <c r="K29" s="33"/>
    </row>
    <row r="30" spans="1:11">
      <c r="A30" s="14">
        <f>DATE($A3,$B3,25)</f>
        <v>43184</v>
      </c>
      <c r="B30" s="37">
        <f t="shared" si="1"/>
        <v>1</v>
      </c>
      <c r="C30" s="10" t="s">
        <v>12</v>
      </c>
      <c r="D30" s="34"/>
      <c r="E30" s="34"/>
      <c r="F30" s="15">
        <v>4.1666666666666664E-2</v>
      </c>
      <c r="G30" s="38">
        <f t="shared" si="2"/>
        <v>0</v>
      </c>
      <c r="H30" s="15" t="str">
        <f t="shared" si="3"/>
        <v/>
      </c>
      <c r="I30" s="10"/>
      <c r="J30" s="10"/>
      <c r="K30" s="36"/>
    </row>
    <row r="31" spans="1:11">
      <c r="A31" s="7">
        <f>DATE($A3,$B3,26)</f>
        <v>43185</v>
      </c>
      <c r="B31" s="37">
        <f t="shared" si="1"/>
        <v>2</v>
      </c>
      <c r="C31" s="8" t="s">
        <v>6</v>
      </c>
      <c r="D31" s="24"/>
      <c r="E31" s="24"/>
      <c r="F31" s="11">
        <v>4.1666666666666664E-2</v>
      </c>
      <c r="G31" s="38">
        <f t="shared" si="2"/>
        <v>0</v>
      </c>
      <c r="H31" s="11" t="str">
        <f t="shared" si="3"/>
        <v/>
      </c>
      <c r="I31" s="8"/>
      <c r="J31" s="8" t="s">
        <v>49</v>
      </c>
    </row>
    <row r="32" spans="1:11">
      <c r="A32" s="7">
        <f>DATE($A3,$B3,27)</f>
        <v>43186</v>
      </c>
      <c r="B32" s="37">
        <f t="shared" si="1"/>
        <v>3</v>
      </c>
      <c r="C32" s="8" t="s">
        <v>7</v>
      </c>
      <c r="D32" s="24">
        <v>0.375</v>
      </c>
      <c r="E32" s="24">
        <v>0.79166666666666663</v>
      </c>
      <c r="F32" s="11">
        <v>4.1666666666666664E-2</v>
      </c>
      <c r="G32" s="38">
        <f t="shared" si="2"/>
        <v>0.41666666666666663</v>
      </c>
      <c r="H32" s="11">
        <f t="shared" si="3"/>
        <v>0.37499999999999994</v>
      </c>
      <c r="I32" s="8"/>
      <c r="J32" s="8"/>
    </row>
    <row r="33" spans="1:11">
      <c r="A33" s="7">
        <f>DATE($A3,$B3,28)</f>
        <v>43187</v>
      </c>
      <c r="B33" s="37">
        <f>WEEKDAY(A33)</f>
        <v>4</v>
      </c>
      <c r="C33" s="8" t="s">
        <v>8</v>
      </c>
      <c r="D33" s="24">
        <v>0.375</v>
      </c>
      <c r="E33" s="24">
        <v>0.75</v>
      </c>
      <c r="F33" s="11">
        <v>4.1666666666666664E-2</v>
      </c>
      <c r="G33" s="38">
        <f t="shared" si="2"/>
        <v>0.375</v>
      </c>
      <c r="H33" s="11">
        <f t="shared" si="3"/>
        <v>0.33333333333333331</v>
      </c>
      <c r="I33" s="8"/>
      <c r="J33" s="45" t="s">
        <v>50</v>
      </c>
    </row>
    <row r="34" spans="1:11">
      <c r="A34" s="7">
        <f>DATE($A3,$B3,29)</f>
        <v>43188</v>
      </c>
      <c r="B34" s="37">
        <f t="shared" si="1"/>
        <v>5</v>
      </c>
      <c r="C34" s="8" t="s">
        <v>9</v>
      </c>
      <c r="D34" s="24">
        <v>0.375</v>
      </c>
      <c r="E34" s="24">
        <v>0.75</v>
      </c>
      <c r="F34" s="11">
        <v>4.1666666666666664E-2</v>
      </c>
      <c r="G34" s="38">
        <f t="shared" si="2"/>
        <v>0.375</v>
      </c>
      <c r="H34" s="11">
        <f t="shared" si="3"/>
        <v>0.33333333333333331</v>
      </c>
      <c r="I34" s="8"/>
      <c r="J34" s="8" t="s">
        <v>51</v>
      </c>
    </row>
    <row r="35" spans="1:11">
      <c r="A35" s="7">
        <f>DATE($A3,$B3,30)</f>
        <v>43189</v>
      </c>
      <c r="B35" s="37">
        <f t="shared" si="1"/>
        <v>6</v>
      </c>
      <c r="C35" s="8" t="s">
        <v>10</v>
      </c>
      <c r="D35" s="24">
        <v>0.375</v>
      </c>
      <c r="E35" s="24">
        <v>0.75</v>
      </c>
      <c r="F35" s="11">
        <v>4.1666666666666664E-2</v>
      </c>
      <c r="G35" s="38">
        <f t="shared" si="2"/>
        <v>0.375</v>
      </c>
      <c r="H35" s="11">
        <f t="shared" si="3"/>
        <v>0.33333333333333331</v>
      </c>
      <c r="I35" s="8"/>
      <c r="J35" s="8"/>
    </row>
    <row r="36" spans="1:11">
      <c r="A36" s="12">
        <f>DATE($A3,$B3,31)</f>
        <v>43190</v>
      </c>
      <c r="B36" s="37">
        <f t="shared" si="1"/>
        <v>7</v>
      </c>
      <c r="C36" s="9" t="s">
        <v>11</v>
      </c>
      <c r="D36" s="32"/>
      <c r="E36" s="32"/>
      <c r="F36" s="13">
        <v>4.1666666666666664E-2</v>
      </c>
      <c r="G36" s="38">
        <f t="shared" si="2"/>
        <v>0</v>
      </c>
      <c r="H36" s="13"/>
      <c r="I36" s="9"/>
      <c r="J36" s="9"/>
      <c r="K36" s="33"/>
    </row>
    <row r="37" spans="1:11">
      <c r="H37" s="23"/>
    </row>
    <row r="38" spans="1:11">
      <c r="H38" s="21">
        <f>SUM(H6:H36)</f>
        <v>6.9166666666666652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90709-9AAE-461A-B812-33D0C9A4C148}">
  <sheetPr codeName="Sheet4"/>
  <dimension ref="A2:L38"/>
  <sheetViews>
    <sheetView zoomScale="85" zoomScaleNormal="85" workbookViewId="0">
      <selection activeCell="H31" sqref="H31"/>
    </sheetView>
  </sheetViews>
  <sheetFormatPr defaultRowHeight="18.75"/>
  <cols>
    <col min="1" max="1" width="5.875" style="19" bestFit="1" customWidth="1"/>
    <col min="2" max="2" width="3.5" style="19" bestFit="1" customWidth="1"/>
    <col min="3" max="3" width="9.125" style="19" bestFit="1" customWidth="1"/>
    <col min="4" max="8" width="9" style="19"/>
    <col min="9" max="9" width="8" style="19" customWidth="1"/>
    <col min="10" max="10" width="92.125" style="19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4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14">
        <f>DATE($A$3,$B$3,1)</f>
        <v>43191</v>
      </c>
      <c r="B6" s="10">
        <f>WEEKDAY(A6)</f>
        <v>1</v>
      </c>
      <c r="C6" s="10" t="s">
        <v>12</v>
      </c>
      <c r="D6" s="34"/>
      <c r="E6" s="34"/>
      <c r="F6" s="15">
        <v>4.1666666666666664E-2</v>
      </c>
      <c r="G6" s="15">
        <f>E6-D6</f>
        <v>0</v>
      </c>
      <c r="H6" s="15" t="str">
        <f t="shared" ref="H6:H16" si="0">IF(D6="","",G6-F6)</f>
        <v/>
      </c>
      <c r="I6" s="10"/>
      <c r="J6" s="10"/>
      <c r="K6" s="35"/>
    </row>
    <row r="7" spans="1:12">
      <c r="A7" s="7">
        <f>DATE($A$3,$B$3,2)</f>
        <v>43192</v>
      </c>
      <c r="B7" s="8">
        <f t="shared" ref="B7:B35" si="1">WEEKDAY(A7)</f>
        <v>2</v>
      </c>
      <c r="C7" s="8" t="s">
        <v>6</v>
      </c>
      <c r="D7" s="24">
        <v>0.375</v>
      </c>
      <c r="E7" s="24">
        <v>0.75</v>
      </c>
      <c r="F7" s="11">
        <v>4.1666666666666664E-2</v>
      </c>
      <c r="G7" s="11">
        <f t="shared" ref="G7:G36" si="2">E7-D7</f>
        <v>0.375</v>
      </c>
      <c r="H7" s="11">
        <f t="shared" si="0"/>
        <v>0.33333333333333331</v>
      </c>
      <c r="I7" s="8"/>
      <c r="J7" s="8"/>
    </row>
    <row r="8" spans="1:12">
      <c r="A8" s="7">
        <f>DATE($A$3,$B$3,3)</f>
        <v>43193</v>
      </c>
      <c r="B8" s="8">
        <f t="shared" si="1"/>
        <v>3</v>
      </c>
      <c r="C8" s="8" t="s">
        <v>7</v>
      </c>
      <c r="D8" s="24">
        <v>0.375</v>
      </c>
      <c r="E8" s="24">
        <v>0.77083333333333337</v>
      </c>
      <c r="F8" s="11">
        <v>4.1666666666666664E-2</v>
      </c>
      <c r="G8" s="11">
        <f t="shared" si="2"/>
        <v>0.39583333333333337</v>
      </c>
      <c r="H8" s="11">
        <f t="shared" si="0"/>
        <v>0.35416666666666669</v>
      </c>
      <c r="I8" s="8"/>
      <c r="J8" s="8" t="s">
        <v>52</v>
      </c>
    </row>
    <row r="9" spans="1:12" ht="21.75">
      <c r="A9" s="7">
        <f>DATE($A$3,$B$3,4)</f>
        <v>43194</v>
      </c>
      <c r="B9" s="8">
        <f t="shared" si="1"/>
        <v>4</v>
      </c>
      <c r="C9" s="8" t="s">
        <v>8</v>
      </c>
      <c r="D9" s="24">
        <v>0.375</v>
      </c>
      <c r="E9" s="24">
        <v>0.75</v>
      </c>
      <c r="F9" s="11">
        <v>4.1666666666666664E-2</v>
      </c>
      <c r="G9" s="11">
        <f t="shared" si="2"/>
        <v>0.375</v>
      </c>
      <c r="H9" s="11">
        <f t="shared" si="0"/>
        <v>0.33333333333333331</v>
      </c>
      <c r="I9" s="8"/>
      <c r="J9" s="8" t="s">
        <v>53</v>
      </c>
      <c r="K9" s="20" t="s">
        <v>5</v>
      </c>
    </row>
    <row r="10" spans="1:12">
      <c r="A10" s="7">
        <f>DATE($A3,$B3,5)</f>
        <v>43195</v>
      </c>
      <c r="B10" s="8">
        <f t="shared" si="1"/>
        <v>5</v>
      </c>
      <c r="C10" s="8" t="s">
        <v>9</v>
      </c>
      <c r="D10" s="24">
        <v>0.375</v>
      </c>
      <c r="E10" s="24">
        <v>0.75</v>
      </c>
      <c r="F10" s="11">
        <v>4.1666666666666664E-2</v>
      </c>
      <c r="G10" s="11">
        <f t="shared" si="2"/>
        <v>0.375</v>
      </c>
      <c r="H10" s="11">
        <f t="shared" si="0"/>
        <v>0.33333333333333331</v>
      </c>
      <c r="I10" s="8"/>
      <c r="J10" s="8" t="s">
        <v>54</v>
      </c>
    </row>
    <row r="11" spans="1:12">
      <c r="A11" s="7">
        <f>DATE($A3,$B3,6)</f>
        <v>43196</v>
      </c>
      <c r="B11" s="8">
        <f t="shared" si="1"/>
        <v>6</v>
      </c>
      <c r="C11" s="8" t="s">
        <v>10</v>
      </c>
      <c r="D11" s="24">
        <v>0.375</v>
      </c>
      <c r="E11" s="24">
        <v>0.75</v>
      </c>
      <c r="F11" s="11">
        <v>4.1666666666666664E-2</v>
      </c>
      <c r="G11" s="11">
        <f t="shared" si="2"/>
        <v>0.375</v>
      </c>
      <c r="H11" s="11">
        <f t="shared" si="0"/>
        <v>0.33333333333333331</v>
      </c>
      <c r="I11" s="8"/>
      <c r="J11" s="49" t="s">
        <v>56</v>
      </c>
    </row>
    <row r="12" spans="1:12">
      <c r="A12" s="12">
        <f>DATE($A3,$B3,7)</f>
        <v>43197</v>
      </c>
      <c r="B12" s="9">
        <f t="shared" si="1"/>
        <v>7</v>
      </c>
      <c r="C12" s="9" t="s">
        <v>11</v>
      </c>
      <c r="D12" s="32"/>
      <c r="E12" s="32"/>
      <c r="F12" s="13">
        <v>4.1666666666666664E-2</v>
      </c>
      <c r="G12" s="13">
        <f t="shared" si="2"/>
        <v>0</v>
      </c>
      <c r="H12" s="13" t="str">
        <f t="shared" si="0"/>
        <v/>
      </c>
      <c r="I12" s="9"/>
      <c r="J12" s="9"/>
      <c r="K12" s="33"/>
      <c r="L12" s="21"/>
    </row>
    <row r="13" spans="1:12">
      <c r="A13" s="14">
        <f>DATE($A3,$B3,8)</f>
        <v>43198</v>
      </c>
      <c r="B13" s="10">
        <f t="shared" si="1"/>
        <v>1</v>
      </c>
      <c r="C13" s="10" t="s">
        <v>12</v>
      </c>
      <c r="D13" s="34"/>
      <c r="E13" s="34"/>
      <c r="F13" s="15">
        <v>4.1666666666666664E-2</v>
      </c>
      <c r="G13" s="15">
        <f t="shared" si="2"/>
        <v>0</v>
      </c>
      <c r="H13" s="15" t="str">
        <f t="shared" si="0"/>
        <v/>
      </c>
      <c r="I13" s="10"/>
      <c r="J13" s="46"/>
      <c r="K13" s="36"/>
    </row>
    <row r="14" spans="1:12">
      <c r="A14" s="7">
        <f>DATE($A3,$B3,9)</f>
        <v>43199</v>
      </c>
      <c r="B14" s="8">
        <f t="shared" si="1"/>
        <v>2</v>
      </c>
      <c r="C14" s="8" t="s">
        <v>6</v>
      </c>
      <c r="D14" s="24">
        <v>0.375</v>
      </c>
      <c r="E14" s="24">
        <v>0.8125</v>
      </c>
      <c r="F14" s="11">
        <v>4.1666666666666664E-2</v>
      </c>
      <c r="G14" s="11">
        <f t="shared" si="2"/>
        <v>0.4375</v>
      </c>
      <c r="H14" s="11">
        <f t="shared" si="0"/>
        <v>0.39583333333333331</v>
      </c>
      <c r="I14" s="8"/>
      <c r="J14" s="8" t="s">
        <v>55</v>
      </c>
    </row>
    <row r="15" spans="1:12">
      <c r="A15" s="7">
        <f>DATE($A3,$B3,10)</f>
        <v>43200</v>
      </c>
      <c r="B15" s="8">
        <f t="shared" si="1"/>
        <v>3</v>
      </c>
      <c r="C15" s="8" t="s">
        <v>7</v>
      </c>
      <c r="D15" s="24">
        <v>0.375</v>
      </c>
      <c r="E15" s="24">
        <v>0.77083333333333337</v>
      </c>
      <c r="F15" s="11">
        <v>4.1666666666666664E-2</v>
      </c>
      <c r="G15" s="11">
        <f t="shared" si="2"/>
        <v>0.39583333333333337</v>
      </c>
      <c r="H15" s="11">
        <f t="shared" si="0"/>
        <v>0.35416666666666669</v>
      </c>
      <c r="I15" s="8"/>
      <c r="J15" s="8" t="s">
        <v>57</v>
      </c>
    </row>
    <row r="16" spans="1:12">
      <c r="A16" s="7">
        <f>DATE($A3,$B3,11)</f>
        <v>43201</v>
      </c>
      <c r="B16" s="8">
        <f t="shared" si="1"/>
        <v>4</v>
      </c>
      <c r="C16" s="8" t="s">
        <v>8</v>
      </c>
      <c r="D16" s="24">
        <v>0.375</v>
      </c>
      <c r="E16" s="24">
        <v>0.75</v>
      </c>
      <c r="F16" s="11">
        <v>4.1666666666666664E-2</v>
      </c>
      <c r="G16" s="11">
        <f t="shared" si="2"/>
        <v>0.375</v>
      </c>
      <c r="H16" s="11">
        <f t="shared" si="0"/>
        <v>0.33333333333333331</v>
      </c>
      <c r="I16" s="8"/>
      <c r="J16" s="8" t="s">
        <v>59</v>
      </c>
    </row>
    <row r="17" spans="1:11">
      <c r="A17" s="7">
        <f>DATE($A3,$B3,12)</f>
        <v>43202</v>
      </c>
      <c r="B17" s="8">
        <f t="shared" si="1"/>
        <v>5</v>
      </c>
      <c r="C17" s="8" t="s">
        <v>9</v>
      </c>
      <c r="D17" s="24">
        <v>0.375</v>
      </c>
      <c r="E17" s="24">
        <v>0.75</v>
      </c>
      <c r="F17" s="11">
        <v>4.1666666666666664E-2</v>
      </c>
      <c r="G17" s="11">
        <f t="shared" si="2"/>
        <v>0.375</v>
      </c>
      <c r="H17" s="11">
        <f>IF(D17="","",G17-F17)</f>
        <v>0.33333333333333331</v>
      </c>
      <c r="I17" s="8"/>
      <c r="J17" s="8" t="s">
        <v>60</v>
      </c>
    </row>
    <row r="18" spans="1:11">
      <c r="A18" s="7">
        <f>DATE($A3,$B3,13)</f>
        <v>43203</v>
      </c>
      <c r="B18" s="8">
        <f t="shared" si="1"/>
        <v>6</v>
      </c>
      <c r="C18" s="8" t="s">
        <v>10</v>
      </c>
      <c r="D18" s="24">
        <v>0.375</v>
      </c>
      <c r="E18" s="24">
        <v>0.77083333333333337</v>
      </c>
      <c r="F18" s="11">
        <v>4.1666666666666664E-2</v>
      </c>
      <c r="G18" s="11">
        <f t="shared" si="2"/>
        <v>0.39583333333333337</v>
      </c>
      <c r="H18" s="11">
        <f t="shared" ref="H18:H35" si="3">IF(D18="","",G18-F18)</f>
        <v>0.35416666666666669</v>
      </c>
      <c r="I18" s="8"/>
      <c r="J18" s="8" t="s">
        <v>60</v>
      </c>
    </row>
    <row r="19" spans="1:11">
      <c r="A19" s="12">
        <f>DATE($A3,$B3,14)</f>
        <v>43204</v>
      </c>
      <c r="B19" s="9">
        <f t="shared" si="1"/>
        <v>7</v>
      </c>
      <c r="C19" s="9" t="s">
        <v>11</v>
      </c>
      <c r="D19" s="32"/>
      <c r="E19" s="32"/>
      <c r="F19" s="13">
        <v>4.1666666666666664E-2</v>
      </c>
      <c r="G19" s="13">
        <f t="shared" si="2"/>
        <v>0</v>
      </c>
      <c r="H19" s="13" t="str">
        <f t="shared" si="3"/>
        <v/>
      </c>
      <c r="I19" s="9"/>
      <c r="J19" s="9"/>
      <c r="K19" s="33"/>
    </row>
    <row r="20" spans="1:11">
      <c r="A20" s="14">
        <f>DATE($A3,$B3,15)</f>
        <v>43205</v>
      </c>
      <c r="B20" s="10">
        <f t="shared" si="1"/>
        <v>1</v>
      </c>
      <c r="C20" s="10" t="s">
        <v>12</v>
      </c>
      <c r="D20" s="34"/>
      <c r="E20" s="34"/>
      <c r="F20" s="15">
        <v>4.1666666666666664E-2</v>
      </c>
      <c r="G20" s="15">
        <f t="shared" si="2"/>
        <v>0</v>
      </c>
      <c r="H20" s="15" t="str">
        <f t="shared" si="3"/>
        <v/>
      </c>
      <c r="I20" s="10"/>
      <c r="J20" s="10"/>
      <c r="K20" s="36"/>
    </row>
    <row r="21" spans="1:11" s="54" customFormat="1">
      <c r="A21" s="50">
        <f>DATE($A3,$B3,16)</f>
        <v>43206</v>
      </c>
      <c r="B21" s="51">
        <f t="shared" si="1"/>
        <v>2</v>
      </c>
      <c r="C21" s="51" t="s">
        <v>6</v>
      </c>
      <c r="D21" s="52"/>
      <c r="E21" s="52"/>
      <c r="F21" s="53">
        <v>4.1666666666666664E-2</v>
      </c>
      <c r="G21" s="53">
        <f t="shared" si="2"/>
        <v>0</v>
      </c>
      <c r="H21" s="53" t="str">
        <f t="shared" si="3"/>
        <v/>
      </c>
      <c r="I21" s="51"/>
      <c r="J21" s="51" t="s">
        <v>61</v>
      </c>
    </row>
    <row r="22" spans="1:11">
      <c r="A22" s="7">
        <f>DATE($A3,$B3,17)</f>
        <v>43207</v>
      </c>
      <c r="B22" s="8">
        <f t="shared" si="1"/>
        <v>3</v>
      </c>
      <c r="C22" s="8" t="s">
        <v>7</v>
      </c>
      <c r="D22" s="24">
        <v>0.375</v>
      </c>
      <c r="E22" s="24">
        <v>0.79166666666666663</v>
      </c>
      <c r="F22" s="11">
        <v>4.1666666666666664E-2</v>
      </c>
      <c r="G22" s="11">
        <f t="shared" si="2"/>
        <v>0.41666666666666663</v>
      </c>
      <c r="H22" s="11">
        <f t="shared" si="3"/>
        <v>0.37499999999999994</v>
      </c>
      <c r="I22" s="8"/>
      <c r="J22" s="8" t="s">
        <v>62</v>
      </c>
    </row>
    <row r="23" spans="1:11" ht="75">
      <c r="A23" s="7">
        <f>DATE($A3,$B3,18)</f>
        <v>43208</v>
      </c>
      <c r="B23" s="8">
        <f t="shared" si="1"/>
        <v>4</v>
      </c>
      <c r="C23" s="8" t="s">
        <v>8</v>
      </c>
      <c r="D23" s="24">
        <v>0.375</v>
      </c>
      <c r="E23" s="24">
        <v>0.79166666666666663</v>
      </c>
      <c r="F23" s="11">
        <v>4.1666666666666664E-2</v>
      </c>
      <c r="G23" s="11">
        <f t="shared" si="2"/>
        <v>0.41666666666666663</v>
      </c>
      <c r="H23" s="11">
        <f t="shared" si="3"/>
        <v>0.37499999999999994</v>
      </c>
      <c r="I23" s="8"/>
      <c r="J23" s="22" t="s">
        <v>63</v>
      </c>
    </row>
    <row r="24" spans="1:11">
      <c r="A24" s="7">
        <f>DATE($A3,$B3,19)</f>
        <v>43209</v>
      </c>
      <c r="B24" s="8">
        <f t="shared" si="1"/>
        <v>5</v>
      </c>
      <c r="C24" s="8" t="s">
        <v>9</v>
      </c>
      <c r="D24" s="24">
        <v>0.375</v>
      </c>
      <c r="E24" s="24">
        <v>0.79166666666666663</v>
      </c>
      <c r="F24" s="11">
        <v>4.1666666666666664E-2</v>
      </c>
      <c r="G24" s="11">
        <f t="shared" si="2"/>
        <v>0.41666666666666663</v>
      </c>
      <c r="H24" s="11">
        <f t="shared" si="3"/>
        <v>0.37499999999999994</v>
      </c>
      <c r="I24" s="8"/>
      <c r="J24" s="8" t="s">
        <v>64</v>
      </c>
    </row>
    <row r="25" spans="1:11">
      <c r="A25" s="7">
        <f>DATE($A3,$B3,20)</f>
        <v>43210</v>
      </c>
      <c r="B25" s="8">
        <f t="shared" si="1"/>
        <v>6</v>
      </c>
      <c r="C25" s="8" t="s">
        <v>10</v>
      </c>
      <c r="D25" s="24">
        <v>0.375</v>
      </c>
      <c r="E25" s="24">
        <v>0.79166666666666663</v>
      </c>
      <c r="F25" s="11">
        <v>4.1666666666666664E-2</v>
      </c>
      <c r="G25" s="11">
        <f t="shared" si="2"/>
        <v>0.41666666666666663</v>
      </c>
      <c r="H25" s="11">
        <f t="shared" si="3"/>
        <v>0.37499999999999994</v>
      </c>
      <c r="I25" s="8"/>
      <c r="J25" s="8" t="s">
        <v>65</v>
      </c>
    </row>
    <row r="26" spans="1:11">
      <c r="A26" s="12">
        <f>DATE($A3,$B3,21)</f>
        <v>43211</v>
      </c>
      <c r="B26" s="9">
        <f t="shared" si="1"/>
        <v>7</v>
      </c>
      <c r="C26" s="9" t="s">
        <v>11</v>
      </c>
      <c r="D26" s="32"/>
      <c r="E26" s="32"/>
      <c r="F26" s="13">
        <v>4.1666666666666664E-2</v>
      </c>
      <c r="G26" s="13">
        <f t="shared" si="2"/>
        <v>0</v>
      </c>
      <c r="H26" s="13" t="str">
        <f t="shared" si="3"/>
        <v/>
      </c>
      <c r="I26" s="9"/>
      <c r="J26" s="9"/>
      <c r="K26" s="33"/>
    </row>
    <row r="27" spans="1:11">
      <c r="A27" s="14">
        <f>DATE($A3,$B3,22)</f>
        <v>43212</v>
      </c>
      <c r="B27" s="10">
        <f t="shared" si="1"/>
        <v>1</v>
      </c>
      <c r="C27" s="10" t="s">
        <v>12</v>
      </c>
      <c r="D27" s="34"/>
      <c r="E27" s="34"/>
      <c r="F27" s="15">
        <v>4.1666666666666664E-2</v>
      </c>
      <c r="G27" s="15">
        <f t="shared" si="2"/>
        <v>0</v>
      </c>
      <c r="H27" s="15" t="str">
        <f t="shared" si="3"/>
        <v/>
      </c>
      <c r="I27" s="10"/>
      <c r="J27" s="10"/>
      <c r="K27" s="36"/>
    </row>
    <row r="28" spans="1:11">
      <c r="A28" s="7">
        <f>DATE($A3,$B3,23)</f>
        <v>43213</v>
      </c>
      <c r="B28" s="8">
        <f t="shared" si="1"/>
        <v>2</v>
      </c>
      <c r="C28" s="8" t="s">
        <v>6</v>
      </c>
      <c r="D28" s="24">
        <v>0.375</v>
      </c>
      <c r="E28" s="24">
        <v>0.75</v>
      </c>
      <c r="F28" s="11">
        <v>4.1666666666666664E-2</v>
      </c>
      <c r="G28" s="11">
        <f t="shared" si="2"/>
        <v>0.375</v>
      </c>
      <c r="H28" s="11">
        <f t="shared" si="3"/>
        <v>0.33333333333333331</v>
      </c>
      <c r="I28" s="8"/>
      <c r="J28" s="8" t="s">
        <v>66</v>
      </c>
    </row>
    <row r="29" spans="1:11">
      <c r="A29" s="7">
        <f>DATE($A3,$B3,24)</f>
        <v>43214</v>
      </c>
      <c r="B29" s="8">
        <f t="shared" si="1"/>
        <v>3</v>
      </c>
      <c r="C29" s="8" t="s">
        <v>7</v>
      </c>
      <c r="D29" s="24">
        <v>0.375</v>
      </c>
      <c r="E29" s="24">
        <v>0.77083333333333337</v>
      </c>
      <c r="F29" s="11">
        <v>4.1666666666666664E-2</v>
      </c>
      <c r="G29" s="11">
        <f t="shared" si="2"/>
        <v>0.39583333333333337</v>
      </c>
      <c r="H29" s="11">
        <f t="shared" si="3"/>
        <v>0.35416666666666669</v>
      </c>
      <c r="I29" s="8"/>
      <c r="J29" s="8" t="s">
        <v>67</v>
      </c>
    </row>
    <row r="30" spans="1:11">
      <c r="A30" s="7">
        <f>DATE($A3,$B3,25)</f>
        <v>43215</v>
      </c>
      <c r="B30" s="8">
        <f t="shared" si="1"/>
        <v>4</v>
      </c>
      <c r="C30" s="8" t="s">
        <v>8</v>
      </c>
      <c r="D30" s="24">
        <v>0.375</v>
      </c>
      <c r="E30" s="24">
        <v>0.77083333333333337</v>
      </c>
      <c r="F30" s="11">
        <v>4.1666666666666664E-2</v>
      </c>
      <c r="G30" s="11">
        <f t="shared" si="2"/>
        <v>0.39583333333333337</v>
      </c>
      <c r="H30" s="11">
        <f t="shared" si="3"/>
        <v>0.35416666666666669</v>
      </c>
      <c r="I30" s="8"/>
      <c r="J30" s="8" t="s">
        <v>67</v>
      </c>
    </row>
    <row r="31" spans="1:11">
      <c r="A31" s="7">
        <f>DATE($A3,$B3,26)</f>
        <v>43216</v>
      </c>
      <c r="B31" s="8">
        <f t="shared" si="1"/>
        <v>5</v>
      </c>
      <c r="C31" s="8" t="s">
        <v>9</v>
      </c>
      <c r="D31" s="24">
        <v>0.375</v>
      </c>
      <c r="E31" s="24">
        <v>0.75</v>
      </c>
      <c r="F31" s="11">
        <v>4.1666666666666664E-2</v>
      </c>
      <c r="G31" s="11">
        <f t="shared" si="2"/>
        <v>0.375</v>
      </c>
      <c r="H31" s="11">
        <f t="shared" si="3"/>
        <v>0.33333333333333331</v>
      </c>
      <c r="I31" s="8"/>
      <c r="J31" s="8" t="s">
        <v>68</v>
      </c>
    </row>
    <row r="32" spans="1:11">
      <c r="A32" s="7">
        <f>DATE($A3,$B3,27)</f>
        <v>43217</v>
      </c>
      <c r="B32" s="8">
        <f t="shared" si="1"/>
        <v>6</v>
      </c>
      <c r="C32" s="8" t="s">
        <v>10</v>
      </c>
      <c r="D32" s="24">
        <v>0.375</v>
      </c>
      <c r="E32" s="24">
        <v>0.75</v>
      </c>
      <c r="F32" s="11">
        <v>4.1666666666666664E-2</v>
      </c>
      <c r="G32" s="11">
        <f t="shared" si="2"/>
        <v>0.375</v>
      </c>
      <c r="H32" s="11">
        <f t="shared" si="3"/>
        <v>0.33333333333333331</v>
      </c>
      <c r="I32" s="8"/>
      <c r="J32" s="8" t="s">
        <v>72</v>
      </c>
    </row>
    <row r="33" spans="1:11">
      <c r="A33" s="12">
        <f>DATE($A3,$B3,28)</f>
        <v>43218</v>
      </c>
      <c r="B33" s="9">
        <f>WEEKDAY(A33)</f>
        <v>7</v>
      </c>
      <c r="C33" s="9" t="s">
        <v>11</v>
      </c>
      <c r="D33" s="32"/>
      <c r="E33" s="32"/>
      <c r="F33" s="13">
        <v>4.1666666666666664E-2</v>
      </c>
      <c r="G33" s="13">
        <f t="shared" si="2"/>
        <v>0</v>
      </c>
      <c r="H33" s="13" t="str">
        <f t="shared" si="3"/>
        <v/>
      </c>
      <c r="I33" s="9"/>
      <c r="J33" s="9"/>
      <c r="K33" s="33"/>
    </row>
    <row r="34" spans="1:11">
      <c r="A34" s="14">
        <f>DATE($A3,$B3,29)</f>
        <v>43219</v>
      </c>
      <c r="B34" s="10">
        <f t="shared" si="1"/>
        <v>1</v>
      </c>
      <c r="C34" s="10" t="s">
        <v>12</v>
      </c>
      <c r="D34" s="34"/>
      <c r="E34" s="34"/>
      <c r="F34" s="15">
        <v>4.1666666666666664E-2</v>
      </c>
      <c r="G34" s="15">
        <f t="shared" si="2"/>
        <v>0</v>
      </c>
      <c r="H34" s="15" t="str">
        <f t="shared" si="3"/>
        <v/>
      </c>
      <c r="I34" s="10"/>
      <c r="J34" s="10"/>
      <c r="K34" s="36"/>
    </row>
    <row r="35" spans="1:11">
      <c r="A35" s="14">
        <f>DATE($A3,$B3,30)</f>
        <v>43220</v>
      </c>
      <c r="B35" s="10">
        <f t="shared" si="1"/>
        <v>2</v>
      </c>
      <c r="C35" s="10" t="s">
        <v>6</v>
      </c>
      <c r="D35" s="34"/>
      <c r="E35" s="34"/>
      <c r="F35" s="15">
        <v>4.1666666666666664E-2</v>
      </c>
      <c r="G35" s="15">
        <f t="shared" si="2"/>
        <v>0</v>
      </c>
      <c r="H35" s="15" t="str">
        <f t="shared" si="3"/>
        <v/>
      </c>
      <c r="I35" s="10"/>
      <c r="J35" s="10" t="s">
        <v>58</v>
      </c>
    </row>
    <row r="36" spans="1:11">
      <c r="A36" s="7"/>
      <c r="B36" s="8"/>
      <c r="C36" s="8"/>
      <c r="D36" s="24"/>
      <c r="E36" s="24"/>
      <c r="F36" s="11">
        <v>4.1666666666666664E-2</v>
      </c>
      <c r="G36" s="11">
        <f t="shared" si="2"/>
        <v>0</v>
      </c>
      <c r="H36" s="11"/>
      <c r="I36" s="8"/>
      <c r="J36" s="8"/>
    </row>
    <row r="37" spans="1:11">
      <c r="H37" s="23"/>
    </row>
    <row r="38" spans="1:11">
      <c r="H38" s="21">
        <f>SUM(H6:H36)</f>
        <v>6.6666666666666661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C10E8-C753-41F1-AF04-D8B36A0F5B73}">
  <sheetPr codeName="Sheet6"/>
  <dimension ref="A2:L38"/>
  <sheetViews>
    <sheetView zoomScaleNormal="100" workbookViewId="0">
      <selection activeCell="J3" sqref="J3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103.62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5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43221</v>
      </c>
      <c r="B6" s="55">
        <f>WEEKDAY(A6)</f>
        <v>3</v>
      </c>
      <c r="C6" s="48">
        <f>WEEKDAY(A6,1)</f>
        <v>3</v>
      </c>
      <c r="D6" s="24">
        <v>0.375</v>
      </c>
      <c r="E6" s="24">
        <v>0.77083333333333337</v>
      </c>
      <c r="F6" s="11">
        <v>4.1666666666666664E-2</v>
      </c>
      <c r="G6" s="11">
        <f>E6-D6</f>
        <v>0.39583333333333337</v>
      </c>
      <c r="H6" s="11">
        <f t="shared" ref="H6:H16" si="0">IF(D6="","",G6-F6)</f>
        <v>0.35416666666666669</v>
      </c>
      <c r="I6" s="8"/>
      <c r="J6" s="8" t="s">
        <v>69</v>
      </c>
      <c r="K6" s="20"/>
    </row>
    <row r="7" spans="1:12">
      <c r="A7" s="60">
        <f>DATE($A$3,$B$3,2)</f>
        <v>43222</v>
      </c>
      <c r="B7" s="55">
        <f t="shared" ref="B7:B36" si="1">WEEKDAY(A7)</f>
        <v>4</v>
      </c>
      <c r="C7" s="62">
        <f t="shared" ref="C7:C36" si="2">WEEKDAY(A7,1)</f>
        <v>4</v>
      </c>
      <c r="D7" s="63"/>
      <c r="E7" s="63"/>
      <c r="F7" s="64">
        <v>4.1666666666666664E-2</v>
      </c>
      <c r="G7" s="64">
        <f t="shared" ref="G7:G36" si="3">E7-D7</f>
        <v>0</v>
      </c>
      <c r="H7" s="64" t="str">
        <f t="shared" si="0"/>
        <v/>
      </c>
      <c r="I7" s="61"/>
      <c r="J7" s="61" t="s">
        <v>70</v>
      </c>
    </row>
    <row r="8" spans="1:12">
      <c r="A8" s="60">
        <f>DATE($A$3,$B$3,3)</f>
        <v>43223</v>
      </c>
      <c r="B8" s="55">
        <f t="shared" si="1"/>
        <v>5</v>
      </c>
      <c r="C8" s="62">
        <f t="shared" si="2"/>
        <v>5</v>
      </c>
      <c r="D8" s="63"/>
      <c r="E8" s="63"/>
      <c r="F8" s="64">
        <v>4.1666666666666664E-2</v>
      </c>
      <c r="G8" s="64">
        <f t="shared" si="3"/>
        <v>0</v>
      </c>
      <c r="H8" s="64" t="str">
        <f t="shared" si="0"/>
        <v/>
      </c>
      <c r="I8" s="61"/>
      <c r="J8" s="61"/>
    </row>
    <row r="9" spans="1:12" ht="21.75">
      <c r="A9" s="60">
        <f>DATE($A$3,$B$3,4)</f>
        <v>43224</v>
      </c>
      <c r="B9" s="55">
        <f t="shared" si="1"/>
        <v>6</v>
      </c>
      <c r="C9" s="62">
        <f t="shared" si="2"/>
        <v>6</v>
      </c>
      <c r="D9" s="63"/>
      <c r="E9" s="63"/>
      <c r="F9" s="64">
        <v>4.1666666666666664E-2</v>
      </c>
      <c r="G9" s="64">
        <f t="shared" si="3"/>
        <v>0</v>
      </c>
      <c r="H9" s="64" t="str">
        <f t="shared" si="0"/>
        <v/>
      </c>
      <c r="I9" s="61"/>
      <c r="J9" s="61"/>
      <c r="K9" s="20" t="s">
        <v>5</v>
      </c>
    </row>
    <row r="10" spans="1:12">
      <c r="A10" s="56">
        <f>DATE($A3,$B3,5)</f>
        <v>43225</v>
      </c>
      <c r="B10" s="55">
        <f t="shared" si="1"/>
        <v>7</v>
      </c>
      <c r="C10" s="57">
        <f t="shared" si="2"/>
        <v>7</v>
      </c>
      <c r="D10" s="32"/>
      <c r="E10" s="32"/>
      <c r="F10" s="13">
        <v>4.1666666666666664E-2</v>
      </c>
      <c r="G10" s="13">
        <f t="shared" si="3"/>
        <v>0</v>
      </c>
      <c r="H10" s="13" t="str">
        <f t="shared" si="0"/>
        <v/>
      </c>
      <c r="I10" s="9"/>
      <c r="J10" s="9"/>
      <c r="K10" s="33"/>
    </row>
    <row r="11" spans="1:12">
      <c r="A11" s="58">
        <f>DATE($A3,$B3,6)</f>
        <v>43226</v>
      </c>
      <c r="B11" s="55">
        <f t="shared" si="1"/>
        <v>1</v>
      </c>
      <c r="C11" s="59">
        <f t="shared" si="2"/>
        <v>1</v>
      </c>
      <c r="D11" s="34"/>
      <c r="E11" s="34"/>
      <c r="F11" s="15">
        <v>4.1666666666666664E-2</v>
      </c>
      <c r="G11" s="15">
        <f t="shared" si="3"/>
        <v>0</v>
      </c>
      <c r="H11" s="15" t="str">
        <f t="shared" si="0"/>
        <v/>
      </c>
      <c r="I11" s="10"/>
      <c r="J11" s="10"/>
      <c r="K11" s="36"/>
    </row>
    <row r="12" spans="1:12">
      <c r="A12" s="47">
        <f>DATE($A3,$B3,7)</f>
        <v>43227</v>
      </c>
      <c r="B12" s="55">
        <f t="shared" si="1"/>
        <v>2</v>
      </c>
      <c r="C12" s="48">
        <f t="shared" si="2"/>
        <v>2</v>
      </c>
      <c r="D12" s="24">
        <v>0.375</v>
      </c>
      <c r="E12" s="24">
        <v>0.8125</v>
      </c>
      <c r="F12" s="11">
        <v>4.1666666666666664E-2</v>
      </c>
      <c r="G12" s="11">
        <f t="shared" si="3"/>
        <v>0.4375</v>
      </c>
      <c r="H12" s="11">
        <f t="shared" si="0"/>
        <v>0.39583333333333331</v>
      </c>
      <c r="I12" s="8"/>
      <c r="J12" s="8" t="s">
        <v>71</v>
      </c>
      <c r="L12" s="21"/>
    </row>
    <row r="13" spans="1:12">
      <c r="A13" s="47">
        <f>DATE($A3,$B3,8)</f>
        <v>43228</v>
      </c>
      <c r="B13" s="55">
        <f t="shared" si="1"/>
        <v>3</v>
      </c>
      <c r="C13" s="48">
        <f t="shared" si="2"/>
        <v>3</v>
      </c>
      <c r="D13" s="24">
        <v>0.375</v>
      </c>
      <c r="E13" s="24">
        <v>0.79166666666666663</v>
      </c>
      <c r="F13" s="11">
        <v>4.1666666666666664E-2</v>
      </c>
      <c r="G13" s="11">
        <f t="shared" si="3"/>
        <v>0.41666666666666663</v>
      </c>
      <c r="H13" s="11">
        <f t="shared" si="0"/>
        <v>0.37499999999999994</v>
      </c>
      <c r="I13" s="8"/>
      <c r="J13" s="8" t="s">
        <v>73</v>
      </c>
    </row>
    <row r="14" spans="1:12">
      <c r="A14" s="47">
        <f>DATE($A3,$B3,9)</f>
        <v>43229</v>
      </c>
      <c r="B14" s="55">
        <f t="shared" si="1"/>
        <v>4</v>
      </c>
      <c r="C14" s="48">
        <f t="shared" si="2"/>
        <v>4</v>
      </c>
      <c r="D14" s="52">
        <v>0.54166666666666663</v>
      </c>
      <c r="E14" s="52">
        <v>0.79166666666666663</v>
      </c>
      <c r="F14" s="53">
        <v>4.1666666666666664E-2</v>
      </c>
      <c r="G14" s="53">
        <f t="shared" si="3"/>
        <v>0.25</v>
      </c>
      <c r="H14" s="53">
        <f t="shared" si="0"/>
        <v>0.20833333333333334</v>
      </c>
      <c r="I14" s="51"/>
      <c r="J14" s="51" t="s">
        <v>76</v>
      </c>
    </row>
    <row r="15" spans="1:12">
      <c r="A15" s="47">
        <f>DATE($A3,$B3,10)</f>
        <v>43230</v>
      </c>
      <c r="B15" s="55">
        <f t="shared" si="1"/>
        <v>5</v>
      </c>
      <c r="C15" s="48">
        <f t="shared" si="2"/>
        <v>5</v>
      </c>
      <c r="D15" s="24">
        <v>0.375</v>
      </c>
      <c r="E15" s="24">
        <v>0.77083333333333337</v>
      </c>
      <c r="F15" s="11">
        <v>4.1666666666666664E-2</v>
      </c>
      <c r="G15" s="11">
        <f t="shared" si="3"/>
        <v>0.39583333333333337</v>
      </c>
      <c r="H15" s="11">
        <f t="shared" si="0"/>
        <v>0.35416666666666669</v>
      </c>
      <c r="I15" s="8"/>
      <c r="J15" s="8" t="s">
        <v>74</v>
      </c>
    </row>
    <row r="16" spans="1:12">
      <c r="A16" s="47">
        <f>DATE($A3,$B3,11)</f>
        <v>43231</v>
      </c>
      <c r="B16" s="55">
        <f t="shared" si="1"/>
        <v>6</v>
      </c>
      <c r="C16" s="48">
        <f t="shared" si="2"/>
        <v>6</v>
      </c>
      <c r="D16" s="24">
        <v>0.375</v>
      </c>
      <c r="E16" s="24">
        <v>0.75</v>
      </c>
      <c r="F16" s="11">
        <v>4.1666666666666664E-2</v>
      </c>
      <c r="G16" s="11">
        <f>E16-D16</f>
        <v>0.375</v>
      </c>
      <c r="H16" s="11">
        <f t="shared" si="0"/>
        <v>0.33333333333333331</v>
      </c>
      <c r="I16" s="8"/>
      <c r="J16" s="8" t="s">
        <v>75</v>
      </c>
    </row>
    <row r="17" spans="1:11">
      <c r="A17" s="56">
        <f>DATE($A3,$B3,12)</f>
        <v>43232</v>
      </c>
      <c r="B17" s="55">
        <f t="shared" si="1"/>
        <v>7</v>
      </c>
      <c r="C17" s="57">
        <f t="shared" si="2"/>
        <v>7</v>
      </c>
      <c r="D17" s="32"/>
      <c r="E17" s="32"/>
      <c r="F17" s="13">
        <v>4.1666666666666664E-2</v>
      </c>
      <c r="G17" s="13">
        <f t="shared" si="3"/>
        <v>0</v>
      </c>
      <c r="H17" s="13" t="str">
        <f>IF(D17="","",G17-F17)</f>
        <v/>
      </c>
      <c r="I17" s="9"/>
      <c r="J17" s="9"/>
      <c r="K17" s="33"/>
    </row>
    <row r="18" spans="1:11">
      <c r="A18" s="58">
        <f>DATE($A3,$B3,13)</f>
        <v>43233</v>
      </c>
      <c r="B18" s="55">
        <f t="shared" si="1"/>
        <v>1</v>
      </c>
      <c r="C18" s="59">
        <f t="shared" si="2"/>
        <v>1</v>
      </c>
      <c r="D18" s="34"/>
      <c r="E18" s="34"/>
      <c r="F18" s="15">
        <v>4.1666666666666664E-2</v>
      </c>
      <c r="G18" s="15">
        <f t="shared" si="3"/>
        <v>0</v>
      </c>
      <c r="H18" s="15" t="str">
        <f t="shared" ref="H18:H36" si="4">IF(D18="","",G18-F18)</f>
        <v/>
      </c>
      <c r="I18" s="10"/>
      <c r="J18" s="10"/>
      <c r="K18" s="36"/>
    </row>
    <row r="19" spans="1:11">
      <c r="A19" s="47">
        <f>DATE($A3,$B3,14)</f>
        <v>43234</v>
      </c>
      <c r="B19" s="55">
        <f t="shared" si="1"/>
        <v>2</v>
      </c>
      <c r="C19" s="48">
        <f t="shared" si="2"/>
        <v>2</v>
      </c>
      <c r="D19" s="24">
        <v>0.375</v>
      </c>
      <c r="E19" s="24">
        <v>0.75</v>
      </c>
      <c r="F19" s="11">
        <v>4.1666666666666664E-2</v>
      </c>
      <c r="G19" s="11">
        <f t="shared" si="3"/>
        <v>0.375</v>
      </c>
      <c r="H19" s="11">
        <f t="shared" si="4"/>
        <v>0.33333333333333331</v>
      </c>
      <c r="I19" s="8"/>
      <c r="J19" s="8" t="s">
        <v>77</v>
      </c>
    </row>
    <row r="20" spans="1:11">
      <c r="A20" s="47">
        <f>DATE($A3,$B3,15)</f>
        <v>43235</v>
      </c>
      <c r="B20" s="55">
        <f t="shared" si="1"/>
        <v>3</v>
      </c>
      <c r="C20" s="48">
        <f t="shared" si="2"/>
        <v>3</v>
      </c>
      <c r="D20" s="24">
        <v>0.375</v>
      </c>
      <c r="E20" s="24">
        <v>0.77083333333333337</v>
      </c>
      <c r="F20" s="11">
        <v>4.1666666666666664E-2</v>
      </c>
      <c r="G20" s="11">
        <f t="shared" si="3"/>
        <v>0.39583333333333337</v>
      </c>
      <c r="H20" s="11">
        <f t="shared" si="4"/>
        <v>0.35416666666666669</v>
      </c>
      <c r="I20" s="8"/>
      <c r="J20" s="8" t="s">
        <v>78</v>
      </c>
    </row>
    <row r="21" spans="1:11">
      <c r="A21" s="47">
        <f>DATE($A3,$B3,16)</f>
        <v>43236</v>
      </c>
      <c r="B21" s="55">
        <f t="shared" si="1"/>
        <v>4</v>
      </c>
      <c r="C21" s="48">
        <f t="shared" si="2"/>
        <v>4</v>
      </c>
      <c r="D21" s="24">
        <v>0.375</v>
      </c>
      <c r="E21" s="24">
        <v>0.77083333333333337</v>
      </c>
      <c r="F21" s="11">
        <v>4.1666666666666664E-2</v>
      </c>
      <c r="G21" s="11">
        <f t="shared" si="3"/>
        <v>0.39583333333333337</v>
      </c>
      <c r="H21" s="11">
        <f t="shared" si="4"/>
        <v>0.35416666666666669</v>
      </c>
      <c r="I21" s="8"/>
      <c r="J21" s="8" t="s">
        <v>79</v>
      </c>
    </row>
    <row r="22" spans="1:11">
      <c r="A22" s="47">
        <f>DATE($A3,$B3,17)</f>
        <v>43237</v>
      </c>
      <c r="B22" s="55">
        <f t="shared" si="1"/>
        <v>5</v>
      </c>
      <c r="C22" s="48">
        <f t="shared" si="2"/>
        <v>5</v>
      </c>
      <c r="D22" s="24">
        <v>0.375</v>
      </c>
      <c r="E22" s="24">
        <v>0.77083333333333337</v>
      </c>
      <c r="F22" s="11">
        <v>4.1666666666666664E-2</v>
      </c>
      <c r="G22" s="11">
        <f t="shared" si="3"/>
        <v>0.39583333333333337</v>
      </c>
      <c r="H22" s="11">
        <f t="shared" si="4"/>
        <v>0.35416666666666669</v>
      </c>
      <c r="I22" s="8"/>
      <c r="J22" s="8" t="s">
        <v>80</v>
      </c>
    </row>
    <row r="23" spans="1:11">
      <c r="A23" s="47">
        <f>DATE($A3,$B3,18)</f>
        <v>43238</v>
      </c>
      <c r="B23" s="55">
        <f t="shared" si="1"/>
        <v>6</v>
      </c>
      <c r="C23" s="48">
        <f t="shared" si="2"/>
        <v>6</v>
      </c>
      <c r="D23" s="24">
        <v>0.375</v>
      </c>
      <c r="E23" s="24">
        <v>0.75</v>
      </c>
      <c r="F23" s="11">
        <v>4.1666666666666664E-2</v>
      </c>
      <c r="G23" s="11">
        <f t="shared" si="3"/>
        <v>0.375</v>
      </c>
      <c r="H23" s="11">
        <f t="shared" si="4"/>
        <v>0.33333333333333331</v>
      </c>
      <c r="I23" s="8"/>
      <c r="J23" s="8" t="s">
        <v>81</v>
      </c>
    </row>
    <row r="24" spans="1:11">
      <c r="A24" s="56">
        <f>DATE($A3,$B3,19)</f>
        <v>43239</v>
      </c>
      <c r="B24" s="55">
        <f t="shared" si="1"/>
        <v>7</v>
      </c>
      <c r="C24" s="57">
        <f t="shared" si="2"/>
        <v>7</v>
      </c>
      <c r="D24" s="32"/>
      <c r="E24" s="32"/>
      <c r="F24" s="13">
        <v>4.1666666666666664E-2</v>
      </c>
      <c r="G24" s="13">
        <f t="shared" si="3"/>
        <v>0</v>
      </c>
      <c r="H24" s="13" t="str">
        <f t="shared" si="4"/>
        <v/>
      </c>
      <c r="I24" s="9"/>
      <c r="J24" s="9"/>
      <c r="K24" s="33"/>
    </row>
    <row r="25" spans="1:11">
      <c r="A25" s="58">
        <f>DATE($A3,$B3,20)</f>
        <v>43240</v>
      </c>
      <c r="B25" s="55">
        <f t="shared" si="1"/>
        <v>1</v>
      </c>
      <c r="C25" s="59">
        <f t="shared" si="2"/>
        <v>1</v>
      </c>
      <c r="D25" s="34"/>
      <c r="E25" s="34"/>
      <c r="F25" s="15">
        <v>4.1666666666666664E-2</v>
      </c>
      <c r="G25" s="15">
        <f t="shared" si="3"/>
        <v>0</v>
      </c>
      <c r="H25" s="15" t="str">
        <f t="shared" si="4"/>
        <v/>
      </c>
      <c r="I25" s="10"/>
      <c r="J25" s="10"/>
      <c r="K25" s="36"/>
    </row>
    <row r="26" spans="1:11">
      <c r="A26" s="47">
        <f>DATE($A3,$B3,21)</f>
        <v>43241</v>
      </c>
      <c r="B26" s="55">
        <f t="shared" si="1"/>
        <v>2</v>
      </c>
      <c r="C26" s="48">
        <f t="shared" si="2"/>
        <v>2</v>
      </c>
      <c r="D26" s="24">
        <v>0.375</v>
      </c>
      <c r="E26" s="24">
        <v>0.75</v>
      </c>
      <c r="F26" s="11">
        <v>4.1666666666666664E-2</v>
      </c>
      <c r="G26" s="11">
        <f t="shared" si="3"/>
        <v>0.375</v>
      </c>
      <c r="H26" s="11">
        <f t="shared" si="4"/>
        <v>0.33333333333333331</v>
      </c>
      <c r="I26" s="8"/>
      <c r="J26" s="8" t="s">
        <v>82</v>
      </c>
    </row>
    <row r="27" spans="1:11">
      <c r="A27" s="47">
        <f>DATE($A3,$B3,22)</f>
        <v>43242</v>
      </c>
      <c r="B27" s="55">
        <f t="shared" si="1"/>
        <v>3</v>
      </c>
      <c r="C27" s="48">
        <f t="shared" si="2"/>
        <v>3</v>
      </c>
      <c r="D27" s="24">
        <v>0.375</v>
      </c>
      <c r="E27" s="24">
        <v>0.75</v>
      </c>
      <c r="F27" s="11">
        <v>4.1666666666666664E-2</v>
      </c>
      <c r="G27" s="11">
        <f t="shared" si="3"/>
        <v>0.375</v>
      </c>
      <c r="H27" s="11">
        <f t="shared" si="4"/>
        <v>0.33333333333333331</v>
      </c>
      <c r="I27" s="8"/>
      <c r="J27" s="65" t="s">
        <v>83</v>
      </c>
    </row>
    <row r="28" spans="1:11">
      <c r="A28" s="47">
        <f>DATE($A3,$B3,23)</f>
        <v>43243</v>
      </c>
      <c r="B28" s="55">
        <f t="shared" si="1"/>
        <v>4</v>
      </c>
      <c r="C28" s="48">
        <f t="shared" si="2"/>
        <v>4</v>
      </c>
      <c r="D28" s="24">
        <v>0.375</v>
      </c>
      <c r="E28" s="24">
        <v>0.75</v>
      </c>
      <c r="F28" s="53">
        <v>4.1666666666666664E-2</v>
      </c>
      <c r="G28" s="53">
        <f t="shared" si="3"/>
        <v>0.375</v>
      </c>
      <c r="H28" s="53">
        <f t="shared" si="4"/>
        <v>0.33333333333333331</v>
      </c>
      <c r="I28" s="51"/>
      <c r="J28" s="51" t="s">
        <v>84</v>
      </c>
    </row>
    <row r="29" spans="1:11">
      <c r="A29" s="47">
        <f>DATE($A3,$B3,24)</f>
        <v>43244</v>
      </c>
      <c r="B29" s="55">
        <f t="shared" si="1"/>
        <v>5</v>
      </c>
      <c r="C29" s="48">
        <f t="shared" si="2"/>
        <v>5</v>
      </c>
      <c r="D29" s="24">
        <v>0.375</v>
      </c>
      <c r="E29" s="24">
        <v>0.79166666666666663</v>
      </c>
      <c r="F29" s="11">
        <v>4.1666666666666664E-2</v>
      </c>
      <c r="G29" s="11">
        <f t="shared" si="3"/>
        <v>0.41666666666666663</v>
      </c>
      <c r="H29" s="11">
        <f t="shared" si="4"/>
        <v>0.37499999999999994</v>
      </c>
      <c r="I29" s="8"/>
      <c r="J29" s="8" t="s">
        <v>85</v>
      </c>
    </row>
    <row r="30" spans="1:11">
      <c r="A30" s="47">
        <f>DATE($A3,$B3,25)</f>
        <v>43245</v>
      </c>
      <c r="B30" s="55">
        <f t="shared" si="1"/>
        <v>6</v>
      </c>
      <c r="C30" s="48">
        <f t="shared" si="2"/>
        <v>6</v>
      </c>
      <c r="D30" s="24">
        <v>0.375</v>
      </c>
      <c r="E30" s="24">
        <v>0.8125</v>
      </c>
      <c r="F30" s="11">
        <v>4.1666666666666664E-2</v>
      </c>
      <c r="G30" s="11">
        <f t="shared" si="3"/>
        <v>0.4375</v>
      </c>
      <c r="H30" s="11">
        <f t="shared" si="4"/>
        <v>0.39583333333333331</v>
      </c>
      <c r="I30" s="8"/>
      <c r="J30" s="8" t="s">
        <v>86</v>
      </c>
    </row>
    <row r="31" spans="1:11">
      <c r="A31" s="56">
        <f>DATE($A3,$B3,26)</f>
        <v>43246</v>
      </c>
      <c r="B31" s="55">
        <f t="shared" si="1"/>
        <v>7</v>
      </c>
      <c r="C31" s="57">
        <f t="shared" si="2"/>
        <v>7</v>
      </c>
      <c r="D31" s="32"/>
      <c r="E31" s="32"/>
      <c r="F31" s="13">
        <v>4.1666666666666664E-2</v>
      </c>
      <c r="G31" s="13">
        <f t="shared" si="3"/>
        <v>0</v>
      </c>
      <c r="H31" s="13" t="str">
        <f t="shared" si="4"/>
        <v/>
      </c>
      <c r="I31" s="9"/>
      <c r="J31" s="9"/>
      <c r="K31" s="33"/>
    </row>
    <row r="32" spans="1:11">
      <c r="A32" s="58">
        <f>DATE($A3,$B3,27)</f>
        <v>43247</v>
      </c>
      <c r="B32" s="55">
        <f t="shared" si="1"/>
        <v>1</v>
      </c>
      <c r="C32" s="59">
        <f t="shared" si="2"/>
        <v>1</v>
      </c>
      <c r="D32" s="34"/>
      <c r="E32" s="34"/>
      <c r="F32" s="15">
        <v>4.1666666666666664E-2</v>
      </c>
      <c r="G32" s="15">
        <f t="shared" si="3"/>
        <v>0</v>
      </c>
      <c r="H32" s="15" t="str">
        <f t="shared" si="4"/>
        <v/>
      </c>
      <c r="I32" s="10"/>
      <c r="J32" s="10"/>
      <c r="K32" s="36"/>
    </row>
    <row r="33" spans="1:10">
      <c r="A33" s="47">
        <f>DATE($A3,$B3,28)</f>
        <v>43248</v>
      </c>
      <c r="B33" s="55">
        <f t="shared" si="1"/>
        <v>2</v>
      </c>
      <c r="C33" s="48">
        <f t="shared" si="2"/>
        <v>2</v>
      </c>
      <c r="D33" s="24">
        <v>0.375</v>
      </c>
      <c r="E33" s="24">
        <v>0.79166666666666663</v>
      </c>
      <c r="F33" s="11">
        <v>4.1666666666666664E-2</v>
      </c>
      <c r="G33" s="11">
        <f t="shared" si="3"/>
        <v>0.41666666666666663</v>
      </c>
      <c r="H33" s="11">
        <f t="shared" si="4"/>
        <v>0.37499999999999994</v>
      </c>
      <c r="I33" s="8"/>
      <c r="J33" s="8" t="s">
        <v>87</v>
      </c>
    </row>
    <row r="34" spans="1:10">
      <c r="A34" s="47">
        <f>DATE($A3,$B3,29)</f>
        <v>43249</v>
      </c>
      <c r="B34" s="55">
        <f t="shared" si="1"/>
        <v>3</v>
      </c>
      <c r="C34" s="48">
        <f t="shared" si="2"/>
        <v>3</v>
      </c>
      <c r="D34" s="24">
        <v>0.375</v>
      </c>
      <c r="E34" s="24">
        <v>0.79166666666666663</v>
      </c>
      <c r="F34" s="11">
        <v>4.1666666666666664E-2</v>
      </c>
      <c r="G34" s="11">
        <f t="shared" si="3"/>
        <v>0.41666666666666663</v>
      </c>
      <c r="H34" s="11">
        <f t="shared" si="4"/>
        <v>0.37499999999999994</v>
      </c>
      <c r="I34" s="8"/>
      <c r="J34" s="8" t="s">
        <v>88</v>
      </c>
    </row>
    <row r="35" spans="1:10">
      <c r="A35" s="47">
        <f>DATE($A3,$B3,30)</f>
        <v>43250</v>
      </c>
      <c r="B35" s="55">
        <f t="shared" si="1"/>
        <v>4</v>
      </c>
      <c r="C35" s="48">
        <f t="shared" si="2"/>
        <v>4</v>
      </c>
      <c r="D35" s="24">
        <v>0.375</v>
      </c>
      <c r="E35" s="24">
        <v>0.77083333333333337</v>
      </c>
      <c r="F35" s="11">
        <v>4.1666666666666664E-2</v>
      </c>
      <c r="G35" s="11">
        <f t="shared" si="3"/>
        <v>0.39583333333333337</v>
      </c>
      <c r="H35" s="11">
        <f t="shared" si="4"/>
        <v>0.35416666666666669</v>
      </c>
      <c r="I35" s="8"/>
      <c r="J35" s="8" t="s">
        <v>88</v>
      </c>
    </row>
    <row r="36" spans="1:10">
      <c r="A36" s="7">
        <f>DATE($A3,$B3,31)</f>
        <v>43251</v>
      </c>
      <c r="B36" s="55">
        <f t="shared" si="1"/>
        <v>5</v>
      </c>
      <c r="C36" s="48">
        <f t="shared" si="2"/>
        <v>5</v>
      </c>
      <c r="D36" s="24">
        <v>0.375</v>
      </c>
      <c r="E36" s="24">
        <v>0.75</v>
      </c>
      <c r="F36" s="11">
        <v>4.1666666666666664E-2</v>
      </c>
      <c r="G36" s="11">
        <f t="shared" si="3"/>
        <v>0.375</v>
      </c>
      <c r="H36" s="11">
        <f t="shared" si="4"/>
        <v>0.33333333333333331</v>
      </c>
      <c r="I36" s="8"/>
      <c r="J36" s="8" t="s">
        <v>89</v>
      </c>
    </row>
    <row r="37" spans="1:10">
      <c r="H37" s="23"/>
    </row>
    <row r="38" spans="1:10">
      <c r="H38" s="21">
        <f>SUM(H6:H36)</f>
        <v>6.9583333333333321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F5440-1EE9-4D7E-B1DA-F4549B7EE5A6}">
  <sheetPr codeName="Sheet8"/>
  <dimension ref="A2:S38"/>
  <sheetViews>
    <sheetView topLeftCell="A19" zoomScale="85" zoomScaleNormal="85" workbookViewId="0">
      <selection activeCell="J32" sqref="J32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7.375" style="19" customWidth="1"/>
    <col min="11" max="11" width="9" style="19"/>
    <col min="12" max="12" width="44.375" style="19" customWidth="1"/>
    <col min="13" max="16384" width="9" style="19"/>
  </cols>
  <sheetData>
    <row r="2" spans="1:14">
      <c r="A2" s="19" t="s">
        <v>17</v>
      </c>
      <c r="B2" s="19" t="s">
        <v>18</v>
      </c>
    </row>
    <row r="3" spans="1:14">
      <c r="A3" s="19">
        <v>2018</v>
      </c>
      <c r="B3" s="19">
        <v>6</v>
      </c>
      <c r="J3" s="19" t="s">
        <v>93</v>
      </c>
    </row>
    <row r="5" spans="1:14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4">
      <c r="A6" s="47">
        <f>DATE($A$3,$B$3,1)</f>
        <v>43252</v>
      </c>
      <c r="B6" s="26">
        <f>WEEKDAY(A6)</f>
        <v>6</v>
      </c>
      <c r="C6" s="48">
        <f>WEEKDAY(A6,1)</f>
        <v>6</v>
      </c>
      <c r="D6" s="24">
        <v>0.375</v>
      </c>
      <c r="E6" s="24">
        <v>0.79166666666666663</v>
      </c>
      <c r="F6" s="11">
        <v>4.1666666666666664E-2</v>
      </c>
      <c r="G6" s="11">
        <f>E6-D6</f>
        <v>0.41666666666666663</v>
      </c>
      <c r="H6" s="11">
        <f t="shared" ref="H6:H16" si="0">IF(D6="","",G6-F6)</f>
        <v>0.37499999999999994</v>
      </c>
      <c r="I6" s="8"/>
      <c r="J6" s="8" t="s">
        <v>94</v>
      </c>
    </row>
    <row r="7" spans="1:14">
      <c r="A7" s="56">
        <f>DATE($A$3,$B$3,2)</f>
        <v>43253</v>
      </c>
      <c r="B7" s="26">
        <f t="shared" ref="B7:B35" si="1">WEEKDAY(A7)</f>
        <v>7</v>
      </c>
      <c r="C7" s="57">
        <f t="shared" ref="C7:C35" si="2">WEEKDAY(A7,1)</f>
        <v>7</v>
      </c>
      <c r="D7" s="32"/>
      <c r="E7" s="32"/>
      <c r="F7" s="13">
        <v>4.1666666666666664E-2</v>
      </c>
      <c r="G7" s="13">
        <f t="shared" ref="G7:G35" si="3">E7-D7</f>
        <v>0</v>
      </c>
      <c r="H7" s="13" t="str">
        <f t="shared" si="0"/>
        <v/>
      </c>
      <c r="I7" s="9"/>
      <c r="J7" s="9"/>
    </row>
    <row r="8" spans="1:14">
      <c r="A8" s="58">
        <f>DATE($A$3,$B$3,3)</f>
        <v>43254</v>
      </c>
      <c r="B8" s="26">
        <f t="shared" si="1"/>
        <v>1</v>
      </c>
      <c r="C8" s="59">
        <f t="shared" si="2"/>
        <v>1</v>
      </c>
      <c r="D8" s="34"/>
      <c r="E8" s="34"/>
      <c r="F8" s="15">
        <v>4.1666666666666664E-2</v>
      </c>
      <c r="G8" s="15">
        <f t="shared" si="3"/>
        <v>0</v>
      </c>
      <c r="H8" s="15" t="str">
        <f t="shared" si="0"/>
        <v/>
      </c>
      <c r="I8" s="10"/>
      <c r="J8" s="10"/>
    </row>
    <row r="9" spans="1:14">
      <c r="A9" s="47">
        <f>DATE($A$3,$B$3,4)</f>
        <v>43255</v>
      </c>
      <c r="B9" s="26">
        <f t="shared" si="1"/>
        <v>2</v>
      </c>
      <c r="C9" s="48">
        <f t="shared" si="2"/>
        <v>2</v>
      </c>
      <c r="D9" s="24">
        <v>0.375</v>
      </c>
      <c r="E9" s="24">
        <v>0.8125</v>
      </c>
      <c r="F9" s="11">
        <v>4.1666666666666664E-2</v>
      </c>
      <c r="G9" s="11">
        <f t="shared" si="3"/>
        <v>0.4375</v>
      </c>
      <c r="H9" s="11">
        <f t="shared" si="0"/>
        <v>0.39583333333333331</v>
      </c>
      <c r="I9" s="8"/>
      <c r="J9" s="8" t="s">
        <v>92</v>
      </c>
    </row>
    <row r="10" spans="1:14">
      <c r="A10" s="47">
        <f>DATE($A3,$B3,5)</f>
        <v>43256</v>
      </c>
      <c r="B10" s="26">
        <f t="shared" si="1"/>
        <v>3</v>
      </c>
      <c r="C10" s="48">
        <f t="shared" si="2"/>
        <v>3</v>
      </c>
      <c r="D10" s="24">
        <v>0.375</v>
      </c>
      <c r="E10" s="24">
        <v>0.75</v>
      </c>
      <c r="F10" s="11">
        <v>4.1666666666666664E-2</v>
      </c>
      <c r="G10" s="11">
        <f t="shared" si="3"/>
        <v>0.375</v>
      </c>
      <c r="H10" s="11">
        <f t="shared" si="0"/>
        <v>0.33333333333333331</v>
      </c>
      <c r="I10" s="8"/>
      <c r="J10" s="8" t="s">
        <v>90</v>
      </c>
      <c r="N10" s="19">
        <v>9</v>
      </c>
    </row>
    <row r="11" spans="1:14">
      <c r="A11" s="47">
        <f>DATE($A3,$B3,6)</f>
        <v>43257</v>
      </c>
      <c r="B11" s="26">
        <f t="shared" si="1"/>
        <v>4</v>
      </c>
      <c r="C11" s="48">
        <f t="shared" si="2"/>
        <v>4</v>
      </c>
      <c r="D11" s="24">
        <v>0.375</v>
      </c>
      <c r="E11" s="24">
        <v>0.75</v>
      </c>
      <c r="F11" s="11">
        <v>4.1666666666666664E-2</v>
      </c>
      <c r="G11" s="11">
        <f t="shared" si="3"/>
        <v>0.375</v>
      </c>
      <c r="H11" s="11">
        <f t="shared" si="0"/>
        <v>0.33333333333333331</v>
      </c>
      <c r="I11" s="8"/>
      <c r="J11" s="8" t="s">
        <v>91</v>
      </c>
      <c r="N11" s="19">
        <v>4</v>
      </c>
    </row>
    <row r="12" spans="1:14">
      <c r="A12" s="47">
        <f>DATE($A3,$B3,7)</f>
        <v>43258</v>
      </c>
      <c r="B12" s="26">
        <f t="shared" si="1"/>
        <v>5</v>
      </c>
      <c r="C12" s="48">
        <f t="shared" si="2"/>
        <v>5</v>
      </c>
      <c r="D12" s="24">
        <v>0.375</v>
      </c>
      <c r="E12" s="24">
        <v>0.77083333333333337</v>
      </c>
      <c r="F12" s="11">
        <v>4.1666666666666664E-2</v>
      </c>
      <c r="G12" s="11">
        <f t="shared" si="3"/>
        <v>0.39583333333333337</v>
      </c>
      <c r="H12" s="11">
        <f t="shared" si="0"/>
        <v>0.35416666666666669</v>
      </c>
      <c r="I12" s="8"/>
      <c r="J12" s="8" t="s">
        <v>95</v>
      </c>
      <c r="L12" s="21"/>
      <c r="N12" s="19">
        <v>8</v>
      </c>
    </row>
    <row r="13" spans="1:14">
      <c r="A13" s="47">
        <f>DATE($A3,$B3,8)</f>
        <v>43259</v>
      </c>
      <c r="B13" s="26">
        <f t="shared" si="1"/>
        <v>6</v>
      </c>
      <c r="C13" s="48">
        <f t="shared" si="2"/>
        <v>6</v>
      </c>
      <c r="D13" s="24">
        <v>0.375</v>
      </c>
      <c r="E13" s="24">
        <v>0.75</v>
      </c>
      <c r="F13" s="11">
        <v>4.1666666666666664E-2</v>
      </c>
      <c r="G13" s="11">
        <f t="shared" si="3"/>
        <v>0.375</v>
      </c>
      <c r="H13" s="11">
        <f t="shared" si="0"/>
        <v>0.33333333333333331</v>
      </c>
      <c r="I13" s="8"/>
      <c r="J13" s="8" t="s">
        <v>96</v>
      </c>
      <c r="N13" s="19">
        <v>8.5</v>
      </c>
    </row>
    <row r="14" spans="1:14">
      <c r="A14" s="56">
        <f>DATE($A3,$B3,9)</f>
        <v>43260</v>
      </c>
      <c r="B14" s="26">
        <f t="shared" si="1"/>
        <v>7</v>
      </c>
      <c r="C14" s="57">
        <f t="shared" si="2"/>
        <v>7</v>
      </c>
      <c r="D14" s="32"/>
      <c r="E14" s="32"/>
      <c r="F14" s="13">
        <v>4.1666666666666664E-2</v>
      </c>
      <c r="G14" s="13">
        <f t="shared" si="3"/>
        <v>0</v>
      </c>
      <c r="H14" s="13" t="str">
        <f t="shared" si="0"/>
        <v/>
      </c>
      <c r="I14" s="9"/>
      <c r="J14" s="9"/>
      <c r="N14" s="19">
        <v>8</v>
      </c>
    </row>
    <row r="15" spans="1:14">
      <c r="A15" s="58">
        <f>DATE($A3,$B3,10)</f>
        <v>43261</v>
      </c>
      <c r="B15" s="26">
        <f t="shared" si="1"/>
        <v>1</v>
      </c>
      <c r="C15" s="59">
        <f t="shared" si="2"/>
        <v>1</v>
      </c>
      <c r="D15" s="34"/>
      <c r="E15" s="34"/>
      <c r="F15" s="15">
        <v>4.1666666666666664E-2</v>
      </c>
      <c r="G15" s="15">
        <f t="shared" si="3"/>
        <v>0</v>
      </c>
      <c r="H15" s="15" t="str">
        <f t="shared" si="0"/>
        <v/>
      </c>
      <c r="I15" s="10"/>
      <c r="J15" s="10"/>
      <c r="N15" s="19">
        <v>9.5</v>
      </c>
    </row>
    <row r="16" spans="1:14">
      <c r="A16" s="47">
        <f>DATE($A3,$B3,11)</f>
        <v>43262</v>
      </c>
      <c r="B16" s="26">
        <f t="shared" si="1"/>
        <v>2</v>
      </c>
      <c r="C16" s="48">
        <f t="shared" si="2"/>
        <v>2</v>
      </c>
      <c r="D16" s="24">
        <v>0.375</v>
      </c>
      <c r="E16" s="24">
        <v>0.8125</v>
      </c>
      <c r="F16" s="11">
        <v>4.1666666666666664E-2</v>
      </c>
      <c r="G16" s="11">
        <f t="shared" si="3"/>
        <v>0.4375</v>
      </c>
      <c r="H16" s="11">
        <f t="shared" si="0"/>
        <v>0.39583333333333331</v>
      </c>
      <c r="I16" s="8"/>
      <c r="J16" s="8" t="s">
        <v>97</v>
      </c>
      <c r="N16" s="19">
        <v>7.5</v>
      </c>
    </row>
    <row r="17" spans="1:19">
      <c r="A17" s="66">
        <f>DATE($A3,$B3,12)</f>
        <v>43263</v>
      </c>
      <c r="B17" s="26">
        <f t="shared" si="1"/>
        <v>3</v>
      </c>
      <c r="C17" s="67">
        <f t="shared" si="2"/>
        <v>3</v>
      </c>
      <c r="D17" s="52">
        <v>0.54166666666666663</v>
      </c>
      <c r="E17" s="52">
        <v>0.85416666666666663</v>
      </c>
      <c r="F17" s="53">
        <v>0</v>
      </c>
      <c r="G17" s="53">
        <f t="shared" si="3"/>
        <v>0.3125</v>
      </c>
      <c r="H17" s="53">
        <f>IF(D17="","",G17-F17)</f>
        <v>0.3125</v>
      </c>
      <c r="I17" s="51"/>
      <c r="J17" s="51" t="s">
        <v>98</v>
      </c>
      <c r="N17" s="19">
        <v>8</v>
      </c>
    </row>
    <row r="18" spans="1:19">
      <c r="A18" s="47">
        <f>DATE($A3,$B3,13)</f>
        <v>43264</v>
      </c>
      <c r="B18" s="26">
        <f t="shared" si="1"/>
        <v>4</v>
      </c>
      <c r="C18" s="48">
        <f t="shared" si="2"/>
        <v>4</v>
      </c>
      <c r="D18" s="24">
        <v>0.375</v>
      </c>
      <c r="E18" s="24">
        <v>0.75</v>
      </c>
      <c r="F18" s="11">
        <v>4.1666666666666664E-2</v>
      </c>
      <c r="G18" s="11">
        <f t="shared" si="3"/>
        <v>0.375</v>
      </c>
      <c r="H18" s="11">
        <f t="shared" ref="H18:H35" si="4">IF(D18="","",G18-F18)</f>
        <v>0.33333333333333331</v>
      </c>
      <c r="I18" s="8"/>
      <c r="J18" s="8" t="s">
        <v>99</v>
      </c>
      <c r="N18" s="19">
        <v>3</v>
      </c>
    </row>
    <row r="19" spans="1:19">
      <c r="A19" s="47">
        <f>DATE($A3,$B3,14)</f>
        <v>43265</v>
      </c>
      <c r="B19" s="26">
        <f t="shared" si="1"/>
        <v>5</v>
      </c>
      <c r="C19" s="48">
        <f t="shared" si="2"/>
        <v>5</v>
      </c>
      <c r="D19" s="24">
        <v>0.375</v>
      </c>
      <c r="E19" s="24">
        <v>0.78125</v>
      </c>
      <c r="F19" s="11">
        <v>4.1666666666666664E-2</v>
      </c>
      <c r="G19" s="11">
        <f t="shared" si="3"/>
        <v>0.40625</v>
      </c>
      <c r="H19" s="11">
        <f t="shared" si="4"/>
        <v>0.36458333333333331</v>
      </c>
      <c r="I19" s="8"/>
      <c r="J19" s="8" t="s">
        <v>100</v>
      </c>
      <c r="N19" s="19">
        <v>65</v>
      </c>
      <c r="O19" s="19">
        <v>9.5</v>
      </c>
    </row>
    <row r="20" spans="1:19">
      <c r="A20" s="47">
        <f>DATE($A3,$B3,15)</f>
        <v>43266</v>
      </c>
      <c r="B20" s="26">
        <f t="shared" si="1"/>
        <v>6</v>
      </c>
      <c r="C20" s="48">
        <f t="shared" si="2"/>
        <v>6</v>
      </c>
      <c r="D20" s="24">
        <v>0.375</v>
      </c>
      <c r="E20" s="24">
        <v>0.85416666666666663</v>
      </c>
      <c r="F20" s="11">
        <v>4.1666666666666664E-2</v>
      </c>
      <c r="G20" s="11">
        <f t="shared" si="3"/>
        <v>0.47916666666666663</v>
      </c>
      <c r="H20" s="11">
        <f t="shared" si="4"/>
        <v>0.43749999999999994</v>
      </c>
      <c r="I20" s="8"/>
      <c r="J20" s="8" t="s">
        <v>101</v>
      </c>
      <c r="N20" s="19">
        <v>60</v>
      </c>
      <c r="O20" s="19">
        <v>60</v>
      </c>
      <c r="P20" s="19">
        <v>60</v>
      </c>
      <c r="Q20" s="19">
        <v>60</v>
      </c>
      <c r="R20" s="19">
        <v>60</v>
      </c>
      <c r="S20" s="19">
        <v>60</v>
      </c>
    </row>
    <row r="21" spans="1:19">
      <c r="A21" s="56">
        <f>DATE($A3,$B3,16)</f>
        <v>43267</v>
      </c>
      <c r="B21" s="26">
        <f t="shared" si="1"/>
        <v>7</v>
      </c>
      <c r="C21" s="57">
        <f t="shared" si="2"/>
        <v>7</v>
      </c>
      <c r="D21" s="32"/>
      <c r="E21" s="32"/>
      <c r="F21" s="13">
        <v>4.1666666666666664E-2</v>
      </c>
      <c r="G21" s="13">
        <f t="shared" si="3"/>
        <v>0</v>
      </c>
      <c r="H21" s="13" t="str">
        <f t="shared" si="4"/>
        <v/>
      </c>
      <c r="I21" s="9"/>
      <c r="J21" s="9"/>
      <c r="N21" s="19">
        <f>N19*N20</f>
        <v>3900</v>
      </c>
      <c r="O21" s="19">
        <f>O19*O20</f>
        <v>570</v>
      </c>
      <c r="P21" s="19">
        <f t="shared" ref="P21:S21" si="5">P19*P20</f>
        <v>0</v>
      </c>
      <c r="Q21" s="19">
        <f t="shared" si="5"/>
        <v>0</v>
      </c>
      <c r="R21" s="19">
        <f t="shared" si="5"/>
        <v>0</v>
      </c>
      <c r="S21" s="19">
        <f t="shared" si="5"/>
        <v>0</v>
      </c>
    </row>
    <row r="22" spans="1:19">
      <c r="A22" s="58">
        <f>DATE($A3,$B3,17)</f>
        <v>43268</v>
      </c>
      <c r="B22" s="26">
        <f t="shared" si="1"/>
        <v>1</v>
      </c>
      <c r="C22" s="59">
        <f t="shared" si="2"/>
        <v>1</v>
      </c>
      <c r="D22" s="34"/>
      <c r="E22" s="34"/>
      <c r="F22" s="15">
        <v>4.1666666666666664E-2</v>
      </c>
      <c r="G22" s="15">
        <f t="shared" si="3"/>
        <v>0</v>
      </c>
      <c r="H22" s="15" t="str">
        <f t="shared" si="4"/>
        <v/>
      </c>
      <c r="I22" s="10"/>
      <c r="J22" s="10"/>
      <c r="N22" s="19">
        <v>1920</v>
      </c>
      <c r="O22" s="19">
        <v>1800</v>
      </c>
    </row>
    <row r="23" spans="1:19">
      <c r="A23" s="66">
        <f>DATE($A3,$B3,18)</f>
        <v>43269</v>
      </c>
      <c r="B23" s="51">
        <f t="shared" si="1"/>
        <v>2</v>
      </c>
      <c r="C23" s="67">
        <f t="shared" si="2"/>
        <v>2</v>
      </c>
      <c r="D23" s="52"/>
      <c r="E23" s="52"/>
      <c r="F23" s="53">
        <v>4.1666666666666664E-2</v>
      </c>
      <c r="G23" s="53">
        <f t="shared" si="3"/>
        <v>0</v>
      </c>
      <c r="H23" s="53" t="str">
        <f t="shared" si="4"/>
        <v/>
      </c>
      <c r="I23" s="51"/>
      <c r="J23" s="51" t="s">
        <v>102</v>
      </c>
      <c r="N23" s="19">
        <f>SUM(N21:N22)</f>
        <v>5820</v>
      </c>
      <c r="O23" s="19">
        <f>SUM(O21:O22)</f>
        <v>2370</v>
      </c>
      <c r="P23" s="19">
        <f t="shared" ref="P23:S23" si="6">SUM(P21:P22)</f>
        <v>0</v>
      </c>
      <c r="Q23" s="19">
        <f t="shared" si="6"/>
        <v>0</v>
      </c>
      <c r="R23" s="19">
        <f t="shared" si="6"/>
        <v>0</v>
      </c>
      <c r="S23" s="19">
        <f t="shared" si="6"/>
        <v>0</v>
      </c>
    </row>
    <row r="24" spans="1:19">
      <c r="A24" s="47">
        <f>DATE($A3,$B3,19)</f>
        <v>43270</v>
      </c>
      <c r="B24" s="26">
        <f t="shared" si="1"/>
        <v>3</v>
      </c>
      <c r="C24" s="48">
        <f t="shared" si="2"/>
        <v>3</v>
      </c>
      <c r="D24" s="24">
        <v>0.375</v>
      </c>
      <c r="E24" s="24">
        <v>0.79166666666666663</v>
      </c>
      <c r="F24" s="11">
        <v>4.1666666666666664E-2</v>
      </c>
      <c r="G24" s="11">
        <f t="shared" si="3"/>
        <v>0.41666666666666663</v>
      </c>
      <c r="H24" s="11">
        <f t="shared" si="4"/>
        <v>0.37499999999999994</v>
      </c>
      <c r="I24" s="8"/>
      <c r="J24" s="8" t="s">
        <v>103</v>
      </c>
    </row>
    <row r="25" spans="1:19">
      <c r="A25" s="47">
        <f>DATE($A3,$B3,20)</f>
        <v>43271</v>
      </c>
      <c r="B25" s="26">
        <f t="shared" si="1"/>
        <v>4</v>
      </c>
      <c r="C25" s="48">
        <f t="shared" si="2"/>
        <v>4</v>
      </c>
      <c r="D25" s="24">
        <v>0.375</v>
      </c>
      <c r="E25" s="24">
        <v>0.79166666666666663</v>
      </c>
      <c r="F25" s="11">
        <v>4.1666666666666664E-2</v>
      </c>
      <c r="G25" s="11">
        <f t="shared" si="3"/>
        <v>0.41666666666666663</v>
      </c>
      <c r="H25" s="11">
        <f t="shared" si="4"/>
        <v>0.37499999999999994</v>
      </c>
      <c r="I25" s="8"/>
      <c r="J25" s="8" t="s">
        <v>104</v>
      </c>
    </row>
    <row r="26" spans="1:19">
      <c r="A26" s="47">
        <f>DATE($A3,$B3,21)</f>
        <v>43272</v>
      </c>
      <c r="B26" s="26">
        <f t="shared" si="1"/>
        <v>5</v>
      </c>
      <c r="C26" s="48">
        <f t="shared" si="2"/>
        <v>5</v>
      </c>
      <c r="D26" s="24">
        <v>0.375</v>
      </c>
      <c r="E26" s="24">
        <v>0.8125</v>
      </c>
      <c r="F26" s="11">
        <v>4.1666666666666664E-2</v>
      </c>
      <c r="G26" s="11">
        <f t="shared" si="3"/>
        <v>0.4375</v>
      </c>
      <c r="H26" s="11">
        <f t="shared" si="4"/>
        <v>0.39583333333333331</v>
      </c>
      <c r="I26" s="8"/>
      <c r="J26" s="8" t="s">
        <v>105</v>
      </c>
    </row>
    <row r="27" spans="1:19">
      <c r="A27" s="47">
        <f>DATE($A3,$B3,22)</f>
        <v>43273</v>
      </c>
      <c r="B27" s="26">
        <f t="shared" si="1"/>
        <v>6</v>
      </c>
      <c r="C27" s="48">
        <f t="shared" si="2"/>
        <v>6</v>
      </c>
      <c r="D27" s="24">
        <v>0.375</v>
      </c>
      <c r="E27" s="24">
        <v>0.75</v>
      </c>
      <c r="F27" s="11">
        <v>4.1666666666666664E-2</v>
      </c>
      <c r="G27" s="11">
        <f t="shared" si="3"/>
        <v>0.375</v>
      </c>
      <c r="H27" s="11">
        <f t="shared" si="4"/>
        <v>0.33333333333333331</v>
      </c>
      <c r="I27" s="8"/>
      <c r="J27" s="8" t="s">
        <v>106</v>
      </c>
    </row>
    <row r="28" spans="1:19">
      <c r="A28" s="56">
        <f>DATE($A3,$B3,23)</f>
        <v>43274</v>
      </c>
      <c r="B28" s="26">
        <f t="shared" si="1"/>
        <v>7</v>
      </c>
      <c r="C28" s="57">
        <f t="shared" si="2"/>
        <v>7</v>
      </c>
      <c r="D28" s="32"/>
      <c r="E28" s="32"/>
      <c r="F28" s="13">
        <v>4.1666666666666664E-2</v>
      </c>
      <c r="G28" s="13">
        <f t="shared" si="3"/>
        <v>0</v>
      </c>
      <c r="H28" s="13" t="str">
        <f t="shared" si="4"/>
        <v/>
      </c>
      <c r="I28" s="9"/>
      <c r="J28" s="9"/>
    </row>
    <row r="29" spans="1:19">
      <c r="A29" s="58">
        <f>DATE($A3,$B3,24)</f>
        <v>43275</v>
      </c>
      <c r="B29" s="26">
        <f t="shared" si="1"/>
        <v>1</v>
      </c>
      <c r="C29" s="59">
        <f t="shared" si="2"/>
        <v>1</v>
      </c>
      <c r="D29" s="34"/>
      <c r="E29" s="34"/>
      <c r="F29" s="15">
        <v>4.1666666666666664E-2</v>
      </c>
      <c r="G29" s="15">
        <f t="shared" si="3"/>
        <v>0</v>
      </c>
      <c r="H29" s="15" t="str">
        <f t="shared" si="4"/>
        <v/>
      </c>
      <c r="I29" s="10"/>
      <c r="J29" s="10"/>
    </row>
    <row r="30" spans="1:19">
      <c r="A30" s="47">
        <f>DATE($A3,$B3,25)</f>
        <v>43276</v>
      </c>
      <c r="B30" s="26">
        <f t="shared" si="1"/>
        <v>2</v>
      </c>
      <c r="C30" s="48">
        <f t="shared" si="2"/>
        <v>2</v>
      </c>
      <c r="D30" s="24">
        <v>0.44791666666666669</v>
      </c>
      <c r="E30" s="24">
        <v>0.8125</v>
      </c>
      <c r="F30" s="11">
        <v>4.1666666666666664E-2</v>
      </c>
      <c r="G30" s="11">
        <f t="shared" si="3"/>
        <v>0.36458333333333331</v>
      </c>
      <c r="H30" s="11">
        <f t="shared" si="4"/>
        <v>0.32291666666666663</v>
      </c>
      <c r="I30" s="8"/>
      <c r="J30" s="8" t="s">
        <v>108</v>
      </c>
      <c r="L30" s="8" t="s">
        <v>107</v>
      </c>
    </row>
    <row r="31" spans="1:19">
      <c r="A31" s="47">
        <f>DATE($A3,$B3,26)</f>
        <v>43277</v>
      </c>
      <c r="B31" s="26">
        <f t="shared" si="1"/>
        <v>3</v>
      </c>
      <c r="C31" s="48">
        <f t="shared" si="2"/>
        <v>3</v>
      </c>
      <c r="D31" s="24">
        <v>0.375</v>
      </c>
      <c r="E31" s="24">
        <v>0.83333333333333337</v>
      </c>
      <c r="F31" s="11">
        <v>4.1666666666666664E-2</v>
      </c>
      <c r="G31" s="11">
        <f t="shared" si="3"/>
        <v>0.45833333333333337</v>
      </c>
      <c r="H31" s="11">
        <f t="shared" si="4"/>
        <v>0.41666666666666669</v>
      </c>
      <c r="I31" s="8"/>
      <c r="J31" s="8" t="s">
        <v>109</v>
      </c>
    </row>
    <row r="32" spans="1:19">
      <c r="A32" s="47">
        <f>DATE($A3,$B3,27)</f>
        <v>43278</v>
      </c>
      <c r="B32" s="26">
        <f t="shared" si="1"/>
        <v>4</v>
      </c>
      <c r="C32" s="48">
        <f t="shared" si="2"/>
        <v>4</v>
      </c>
      <c r="D32" s="52">
        <v>0.375</v>
      </c>
      <c r="E32" s="52">
        <v>0.8125</v>
      </c>
      <c r="F32" s="53">
        <v>0.16666666666666666</v>
      </c>
      <c r="G32" s="53">
        <f t="shared" si="3"/>
        <v>0.4375</v>
      </c>
      <c r="H32" s="53">
        <f t="shared" si="4"/>
        <v>0.27083333333333337</v>
      </c>
      <c r="I32" s="51"/>
      <c r="J32" s="51" t="s">
        <v>111</v>
      </c>
      <c r="L32" s="19" t="s">
        <v>110</v>
      </c>
    </row>
    <row r="33" spans="1:12">
      <c r="A33" s="47">
        <f>DATE($A3,$B3,28)</f>
        <v>43279</v>
      </c>
      <c r="B33" s="26">
        <f t="shared" si="1"/>
        <v>5</v>
      </c>
      <c r="C33" s="48">
        <f t="shared" si="2"/>
        <v>5</v>
      </c>
      <c r="D33" s="24">
        <v>0.375</v>
      </c>
      <c r="E33" s="24">
        <v>0.75</v>
      </c>
      <c r="F33" s="11">
        <v>4.1666666666666664E-2</v>
      </c>
      <c r="G33" s="11">
        <f t="shared" si="3"/>
        <v>0.375</v>
      </c>
      <c r="H33" s="11">
        <f t="shared" si="4"/>
        <v>0.33333333333333331</v>
      </c>
      <c r="I33" s="8"/>
      <c r="J33" s="8" t="s">
        <v>112</v>
      </c>
      <c r="L33" s="23" t="s">
        <v>114</v>
      </c>
    </row>
    <row r="34" spans="1:12">
      <c r="A34" s="47">
        <f>DATE($A3,$B3,29)</f>
        <v>43280</v>
      </c>
      <c r="B34" s="26">
        <f t="shared" si="1"/>
        <v>6</v>
      </c>
      <c r="C34" s="48">
        <f t="shared" si="2"/>
        <v>6</v>
      </c>
      <c r="D34" s="24">
        <v>0.375</v>
      </c>
      <c r="E34" s="24">
        <v>0.75</v>
      </c>
      <c r="F34" s="11">
        <v>4.1666666666666664E-2</v>
      </c>
      <c r="G34" s="11">
        <f t="shared" si="3"/>
        <v>0.375</v>
      </c>
      <c r="H34" s="11">
        <f t="shared" si="4"/>
        <v>0.33333333333333331</v>
      </c>
      <c r="I34" s="8"/>
      <c r="J34" s="8" t="s">
        <v>113</v>
      </c>
      <c r="L34" s="23" t="s">
        <v>115</v>
      </c>
    </row>
    <row r="35" spans="1:12">
      <c r="A35" s="56">
        <f>DATE($A3,$B3,30)</f>
        <v>43281</v>
      </c>
      <c r="B35" s="26">
        <f t="shared" si="1"/>
        <v>7</v>
      </c>
      <c r="C35" s="57">
        <f t="shared" si="2"/>
        <v>7</v>
      </c>
      <c r="D35" s="32"/>
      <c r="E35" s="32"/>
      <c r="F35" s="13">
        <v>4.1666666666666664E-2</v>
      </c>
      <c r="G35" s="13">
        <f t="shared" si="3"/>
        <v>0</v>
      </c>
      <c r="H35" s="13" t="str">
        <f t="shared" si="4"/>
        <v/>
      </c>
      <c r="I35" s="9"/>
      <c r="J35" s="9"/>
    </row>
    <row r="36" spans="1:12">
      <c r="A36" s="14"/>
      <c r="B36" s="26"/>
      <c r="C36" s="59"/>
      <c r="D36" s="34"/>
      <c r="E36" s="34"/>
      <c r="F36" s="15"/>
      <c r="G36" s="15"/>
      <c r="H36" s="15"/>
      <c r="I36" s="10"/>
      <c r="J36" s="10"/>
    </row>
    <row r="37" spans="1:12">
      <c r="H37" s="23"/>
    </row>
    <row r="38" spans="1:12">
      <c r="H38" s="21">
        <f>SUM(H6:H36)</f>
        <v>7.1249999999999991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2C244-CAB5-4722-AB66-931A90B48BB1}">
  <sheetPr codeName="Sheet9"/>
  <dimension ref="A2:M38"/>
  <sheetViews>
    <sheetView topLeftCell="A16" zoomScale="85" zoomScaleNormal="85" workbookViewId="0">
      <selection activeCell="O26" sqref="O26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1" width="20.875" style="19" customWidth="1"/>
    <col min="12" max="12" width="24.625" style="19" customWidth="1"/>
    <col min="13" max="13" width="30.625" style="19" customWidth="1"/>
    <col min="14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7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58">
        <f>DATE($A$3,$B$3,1)</f>
        <v>43282</v>
      </c>
      <c r="B6" s="26">
        <f>WEEKDAY(A6)</f>
        <v>1</v>
      </c>
      <c r="C6" s="59">
        <f>WEEKDAY(A6,1)</f>
        <v>1</v>
      </c>
      <c r="D6" s="34"/>
      <c r="E6" s="34"/>
      <c r="F6" s="15">
        <v>4.1666666666666664E-2</v>
      </c>
      <c r="G6" s="15">
        <f>E6-D6</f>
        <v>0</v>
      </c>
      <c r="H6" s="15" t="str">
        <f t="shared" ref="H6:H16" si="0">IF(D6="","",G6-F6)</f>
        <v/>
      </c>
      <c r="I6" s="10"/>
      <c r="J6" s="10"/>
      <c r="K6" s="35"/>
    </row>
    <row r="7" spans="1:12">
      <c r="A7" s="47">
        <f>DATE($A$3,$B$3,2)</f>
        <v>43283</v>
      </c>
      <c r="B7" s="26">
        <f t="shared" ref="B7:B36" si="1">WEEKDAY(A7)</f>
        <v>2</v>
      </c>
      <c r="C7" s="48">
        <f t="shared" ref="C7:C36" si="2">WEEKDAY(A7,1)</f>
        <v>2</v>
      </c>
      <c r="D7" s="24">
        <v>0.375</v>
      </c>
      <c r="E7" s="24">
        <v>0.75</v>
      </c>
      <c r="F7" s="11">
        <v>4.1666666666666664E-2</v>
      </c>
      <c r="G7" s="11">
        <f t="shared" ref="G7:G36" si="3">E7-D7</f>
        <v>0.375</v>
      </c>
      <c r="H7" s="11">
        <f t="shared" si="0"/>
        <v>0.33333333333333331</v>
      </c>
      <c r="I7" s="8"/>
      <c r="J7" s="8" t="s">
        <v>116</v>
      </c>
    </row>
    <row r="8" spans="1:12">
      <c r="A8" s="47">
        <f>DATE($A$3,$B$3,3)</f>
        <v>43284</v>
      </c>
      <c r="B8" s="26">
        <f t="shared" si="1"/>
        <v>3</v>
      </c>
      <c r="C8" s="48">
        <f t="shared" si="2"/>
        <v>3</v>
      </c>
      <c r="D8" s="24">
        <v>0.375</v>
      </c>
      <c r="E8" s="24">
        <v>0.8125</v>
      </c>
      <c r="F8" s="11">
        <v>4.1666666666666664E-2</v>
      </c>
      <c r="G8" s="11">
        <f t="shared" si="3"/>
        <v>0.4375</v>
      </c>
      <c r="H8" s="11">
        <f t="shared" si="0"/>
        <v>0.39583333333333331</v>
      </c>
      <c r="I8" s="8"/>
      <c r="J8" s="8" t="s">
        <v>119</v>
      </c>
      <c r="L8" s="19" t="s">
        <v>120</v>
      </c>
    </row>
    <row r="9" spans="1:12" ht="21.75">
      <c r="A9" s="47">
        <f>DATE($A$3,$B$3,4)</f>
        <v>43285</v>
      </c>
      <c r="B9" s="26">
        <f t="shared" si="1"/>
        <v>4</v>
      </c>
      <c r="C9" s="48">
        <f t="shared" si="2"/>
        <v>4</v>
      </c>
      <c r="D9" s="24">
        <v>0.375</v>
      </c>
      <c r="E9" s="24">
        <v>0.79166666666666663</v>
      </c>
      <c r="F9" s="11">
        <v>4.1666666666666664E-2</v>
      </c>
      <c r="G9" s="11">
        <f t="shared" si="3"/>
        <v>0.41666666666666663</v>
      </c>
      <c r="H9" s="11">
        <f t="shared" si="0"/>
        <v>0.37499999999999994</v>
      </c>
      <c r="I9" s="8"/>
      <c r="J9" s="8" t="s">
        <v>117</v>
      </c>
      <c r="K9" s="20"/>
      <c r="L9" s="19" t="s">
        <v>121</v>
      </c>
    </row>
    <row r="10" spans="1:12">
      <c r="A10" s="47">
        <f>DATE($A3,$B3,5)</f>
        <v>43286</v>
      </c>
      <c r="B10" s="26">
        <f t="shared" si="1"/>
        <v>5</v>
      </c>
      <c r="C10" s="48">
        <f t="shared" si="2"/>
        <v>5</v>
      </c>
      <c r="D10" s="24">
        <v>0.375</v>
      </c>
      <c r="E10" s="24">
        <v>0.75</v>
      </c>
      <c r="F10" s="11">
        <v>4.1666666666666664E-2</v>
      </c>
      <c r="G10" s="11">
        <f t="shared" si="3"/>
        <v>0.375</v>
      </c>
      <c r="H10" s="11">
        <f t="shared" si="0"/>
        <v>0.33333333333333331</v>
      </c>
      <c r="I10" s="8"/>
      <c r="J10" s="8" t="s">
        <v>118</v>
      </c>
      <c r="L10" s="19" t="s">
        <v>124</v>
      </c>
    </row>
    <row r="11" spans="1:12">
      <c r="A11" s="47">
        <f>DATE($A3,$B3,6)</f>
        <v>43287</v>
      </c>
      <c r="B11" s="26">
        <f t="shared" si="1"/>
        <v>6</v>
      </c>
      <c r="C11" s="48">
        <f t="shared" si="2"/>
        <v>6</v>
      </c>
      <c r="D11" s="24">
        <v>0.375</v>
      </c>
      <c r="E11" s="24">
        <v>0.75</v>
      </c>
      <c r="F11" s="11">
        <v>4.1666666666666664E-2</v>
      </c>
      <c r="G11" s="11">
        <f t="shared" si="3"/>
        <v>0.375</v>
      </c>
      <c r="H11" s="11">
        <f t="shared" si="0"/>
        <v>0.33333333333333331</v>
      </c>
      <c r="I11" s="8"/>
      <c r="J11" s="8" t="s">
        <v>126</v>
      </c>
      <c r="L11" s="19" t="s">
        <v>125</v>
      </c>
    </row>
    <row r="12" spans="1:12">
      <c r="A12" s="56">
        <f>DATE($A3,$B3,7)</f>
        <v>43288</v>
      </c>
      <c r="B12" s="26">
        <f t="shared" si="1"/>
        <v>7</v>
      </c>
      <c r="C12" s="57">
        <f t="shared" si="2"/>
        <v>7</v>
      </c>
      <c r="D12" s="32"/>
      <c r="E12" s="32"/>
      <c r="F12" s="13">
        <v>4.1666666666666664E-2</v>
      </c>
      <c r="G12" s="13">
        <f t="shared" si="3"/>
        <v>0</v>
      </c>
      <c r="H12" s="13" t="str">
        <f t="shared" si="0"/>
        <v/>
      </c>
      <c r="I12" s="9"/>
      <c r="J12" s="9"/>
      <c r="K12" s="33"/>
      <c r="L12" s="21"/>
    </row>
    <row r="13" spans="1:12">
      <c r="A13" s="58">
        <f>DATE($A3,$B3,8)</f>
        <v>43289</v>
      </c>
      <c r="B13" s="26">
        <f t="shared" si="1"/>
        <v>1</v>
      </c>
      <c r="C13" s="59">
        <f t="shared" si="2"/>
        <v>1</v>
      </c>
      <c r="D13" s="34"/>
      <c r="E13" s="34"/>
      <c r="F13" s="15">
        <v>4.1666666666666664E-2</v>
      </c>
      <c r="G13" s="15">
        <f t="shared" si="3"/>
        <v>0</v>
      </c>
      <c r="H13" s="15" t="str">
        <f t="shared" si="0"/>
        <v/>
      </c>
      <c r="I13" s="10"/>
      <c r="J13" s="46"/>
      <c r="K13" s="36"/>
    </row>
    <row r="14" spans="1:12">
      <c r="A14" s="47">
        <f>DATE($A3,$B3,9)</f>
        <v>43290</v>
      </c>
      <c r="B14" s="26">
        <f t="shared" si="1"/>
        <v>2</v>
      </c>
      <c r="C14" s="67">
        <f t="shared" si="2"/>
        <v>2</v>
      </c>
      <c r="D14" s="52"/>
      <c r="E14" s="52">
        <v>0.75</v>
      </c>
      <c r="F14" s="53">
        <v>4.1666666666666664E-2</v>
      </c>
      <c r="G14" s="53">
        <f t="shared" si="3"/>
        <v>0.75</v>
      </c>
      <c r="H14" s="53" t="str">
        <f t="shared" si="0"/>
        <v/>
      </c>
      <c r="I14" s="51"/>
      <c r="J14" s="51" t="s">
        <v>122</v>
      </c>
      <c r="L14" s="19" t="s">
        <v>127</v>
      </c>
    </row>
    <row r="15" spans="1:12">
      <c r="A15" s="47">
        <f>DATE($A3,$B3,10)</f>
        <v>43291</v>
      </c>
      <c r="B15" s="26">
        <f t="shared" si="1"/>
        <v>3</v>
      </c>
      <c r="C15" s="48">
        <f t="shared" si="2"/>
        <v>3</v>
      </c>
      <c r="D15" s="24">
        <v>0.375</v>
      </c>
      <c r="E15" s="24">
        <v>0.79166666666666663</v>
      </c>
      <c r="F15" s="11">
        <v>4.1666666666666664E-2</v>
      </c>
      <c r="G15" s="11">
        <f t="shared" si="3"/>
        <v>0.41666666666666663</v>
      </c>
      <c r="H15" s="11">
        <f t="shared" si="0"/>
        <v>0.37499999999999994</v>
      </c>
      <c r="I15" s="8"/>
      <c r="J15" s="8" t="s">
        <v>128</v>
      </c>
      <c r="L15" s="19" t="s">
        <v>129</v>
      </c>
    </row>
    <row r="16" spans="1:12">
      <c r="A16" s="47">
        <f>DATE($A3,$B3,11)</f>
        <v>43292</v>
      </c>
      <c r="B16" s="26">
        <f t="shared" si="1"/>
        <v>4</v>
      </c>
      <c r="C16" s="48">
        <f t="shared" si="2"/>
        <v>4</v>
      </c>
      <c r="D16" s="24">
        <v>0.375</v>
      </c>
      <c r="E16" s="24">
        <v>0.77083333333333337</v>
      </c>
      <c r="F16" s="11">
        <v>4.1666666666666664E-2</v>
      </c>
      <c r="G16" s="11">
        <f t="shared" si="3"/>
        <v>0.39583333333333337</v>
      </c>
      <c r="H16" s="11">
        <f t="shared" si="0"/>
        <v>0.35416666666666669</v>
      </c>
      <c r="I16" s="8"/>
      <c r="J16" s="8" t="s">
        <v>128</v>
      </c>
      <c r="L16" s="19" t="s">
        <v>130</v>
      </c>
    </row>
    <row r="17" spans="1:13">
      <c r="A17" s="47">
        <f>DATE($A3,$B3,12)</f>
        <v>43293</v>
      </c>
      <c r="B17" s="26">
        <f t="shared" si="1"/>
        <v>5</v>
      </c>
      <c r="C17" s="67">
        <f t="shared" si="2"/>
        <v>5</v>
      </c>
      <c r="D17" s="52">
        <v>0.47916666666666669</v>
      </c>
      <c r="E17" s="52">
        <v>0.85416666666666663</v>
      </c>
      <c r="F17" s="53">
        <v>4.1666666666666664E-2</v>
      </c>
      <c r="G17" s="53">
        <f t="shared" si="3"/>
        <v>0.37499999999999994</v>
      </c>
      <c r="H17" s="53">
        <f>IF(D17="","",G17-F17)</f>
        <v>0.33333333333333326</v>
      </c>
      <c r="I17" s="51"/>
      <c r="J17" s="51" t="s">
        <v>128</v>
      </c>
      <c r="K17" s="54" t="s">
        <v>131</v>
      </c>
      <c r="L17" s="19" t="s">
        <v>132</v>
      </c>
    </row>
    <row r="18" spans="1:13">
      <c r="A18" s="47">
        <f>DATE($A3,$B3,13)</f>
        <v>43294</v>
      </c>
      <c r="B18" s="26">
        <f t="shared" si="1"/>
        <v>6</v>
      </c>
      <c r="C18" s="48">
        <f t="shared" si="2"/>
        <v>6</v>
      </c>
      <c r="D18" s="24">
        <v>0.375</v>
      </c>
      <c r="E18" s="24">
        <v>0.75</v>
      </c>
      <c r="F18" s="11">
        <v>4.1666666666666664E-2</v>
      </c>
      <c r="G18" s="11">
        <f t="shared" si="3"/>
        <v>0.375</v>
      </c>
      <c r="H18" s="11">
        <f t="shared" ref="H18:H36" si="4">IF(D18="","",G18-F18)</f>
        <v>0.33333333333333331</v>
      </c>
      <c r="I18" s="8"/>
      <c r="J18" s="8" t="s">
        <v>137</v>
      </c>
      <c r="L18" s="19" t="s">
        <v>138</v>
      </c>
    </row>
    <row r="19" spans="1:13">
      <c r="A19" s="56">
        <f>DATE($A3,$B3,14)</f>
        <v>43295</v>
      </c>
      <c r="B19" s="26">
        <f t="shared" si="1"/>
        <v>7</v>
      </c>
      <c r="C19" s="57">
        <f t="shared" si="2"/>
        <v>7</v>
      </c>
      <c r="D19" s="32"/>
      <c r="E19" s="32"/>
      <c r="F19" s="13">
        <v>4.1666666666666664E-2</v>
      </c>
      <c r="G19" s="13">
        <f t="shared" si="3"/>
        <v>0</v>
      </c>
      <c r="H19" s="13" t="str">
        <f t="shared" si="4"/>
        <v/>
      </c>
      <c r="I19" s="9"/>
      <c r="J19" s="9"/>
      <c r="K19" s="33"/>
    </row>
    <row r="20" spans="1:13">
      <c r="A20" s="58">
        <f>DATE($A3,$B3,15)</f>
        <v>43296</v>
      </c>
      <c r="B20" s="26">
        <f t="shared" si="1"/>
        <v>1</v>
      </c>
      <c r="C20" s="59">
        <f t="shared" si="2"/>
        <v>1</v>
      </c>
      <c r="D20" s="34"/>
      <c r="E20" s="34"/>
      <c r="F20" s="15">
        <v>4.1666666666666664E-2</v>
      </c>
      <c r="G20" s="15">
        <f t="shared" si="3"/>
        <v>0</v>
      </c>
      <c r="H20" s="15" t="str">
        <f t="shared" si="4"/>
        <v/>
      </c>
      <c r="I20" s="10"/>
      <c r="J20" s="10"/>
      <c r="K20" s="36"/>
    </row>
    <row r="21" spans="1:13">
      <c r="A21" s="47">
        <f>DATE($A3,$B3,16)</f>
        <v>43297</v>
      </c>
      <c r="B21" s="26">
        <f t="shared" si="1"/>
        <v>2</v>
      </c>
      <c r="C21" s="67">
        <f t="shared" si="2"/>
        <v>2</v>
      </c>
      <c r="D21" s="52"/>
      <c r="E21" s="52">
        <v>0.75</v>
      </c>
      <c r="F21" s="53">
        <v>4.1666666666666664E-2</v>
      </c>
      <c r="G21" s="53">
        <f t="shared" si="3"/>
        <v>0.75</v>
      </c>
      <c r="H21" s="53" t="str">
        <f t="shared" si="4"/>
        <v/>
      </c>
      <c r="I21" s="51"/>
      <c r="J21" s="51" t="s">
        <v>123</v>
      </c>
    </row>
    <row r="22" spans="1:13">
      <c r="A22" s="47">
        <f>DATE($A3,$B3,17)</f>
        <v>43298</v>
      </c>
      <c r="B22" s="26">
        <f t="shared" si="1"/>
        <v>3</v>
      </c>
      <c r="C22" s="48">
        <f t="shared" si="2"/>
        <v>3</v>
      </c>
      <c r="D22" s="24">
        <v>0.375</v>
      </c>
      <c r="E22" s="24">
        <v>0.8125</v>
      </c>
      <c r="F22" s="11">
        <v>4.1666666666666664E-2</v>
      </c>
      <c r="G22" s="11">
        <f t="shared" si="3"/>
        <v>0.4375</v>
      </c>
      <c r="H22" s="11">
        <f t="shared" si="4"/>
        <v>0.39583333333333331</v>
      </c>
      <c r="I22" s="8"/>
      <c r="J22" s="8" t="s">
        <v>133</v>
      </c>
      <c r="L22" s="19" t="s">
        <v>135</v>
      </c>
    </row>
    <row r="23" spans="1:13">
      <c r="A23" s="47">
        <f>DATE($A3,$B3,18)</f>
        <v>43299</v>
      </c>
      <c r="B23" s="26">
        <f t="shared" si="1"/>
        <v>4</v>
      </c>
      <c r="C23" s="48">
        <f t="shared" si="2"/>
        <v>4</v>
      </c>
      <c r="D23" s="24">
        <v>0.375</v>
      </c>
      <c r="E23" s="24">
        <v>0.77083333333333337</v>
      </c>
      <c r="F23" s="11">
        <v>4.1666666666666664E-2</v>
      </c>
      <c r="G23" s="11">
        <f t="shared" si="3"/>
        <v>0.39583333333333337</v>
      </c>
      <c r="H23" s="11">
        <f t="shared" si="4"/>
        <v>0.35416666666666669</v>
      </c>
      <c r="I23" s="8"/>
      <c r="J23" s="8" t="s">
        <v>134</v>
      </c>
      <c r="L23" s="19" t="s">
        <v>136</v>
      </c>
    </row>
    <row r="24" spans="1:13">
      <c r="A24" s="47">
        <f>DATE($A3,$B3,19)</f>
        <v>43300</v>
      </c>
      <c r="B24" s="26">
        <f t="shared" si="1"/>
        <v>5</v>
      </c>
      <c r="C24" s="48">
        <f t="shared" si="2"/>
        <v>5</v>
      </c>
      <c r="D24" s="24">
        <v>0.375</v>
      </c>
      <c r="E24" s="24">
        <v>0.77083333333333337</v>
      </c>
      <c r="F24" s="11">
        <v>4.1666666666666664E-2</v>
      </c>
      <c r="G24" s="11">
        <f t="shared" si="3"/>
        <v>0.39583333333333337</v>
      </c>
      <c r="H24" s="11">
        <f t="shared" si="4"/>
        <v>0.35416666666666669</v>
      </c>
      <c r="I24" s="8"/>
      <c r="J24" s="8" t="s">
        <v>139</v>
      </c>
      <c r="L24" s="19" t="s">
        <v>140</v>
      </c>
    </row>
    <row r="25" spans="1:13">
      <c r="A25" s="47">
        <f>DATE($A3,$B3,20)</f>
        <v>43301</v>
      </c>
      <c r="B25" s="26">
        <f t="shared" si="1"/>
        <v>6</v>
      </c>
      <c r="C25" s="48">
        <f t="shared" si="2"/>
        <v>6</v>
      </c>
      <c r="D25" s="24">
        <v>0.375</v>
      </c>
      <c r="E25" s="24">
        <v>0.75</v>
      </c>
      <c r="F25" s="11">
        <v>4.1666666666666664E-2</v>
      </c>
      <c r="G25" s="11">
        <f t="shared" si="3"/>
        <v>0.375</v>
      </c>
      <c r="H25" s="11">
        <f t="shared" si="4"/>
        <v>0.33333333333333331</v>
      </c>
      <c r="I25" s="8"/>
      <c r="J25" s="8" t="s">
        <v>142</v>
      </c>
      <c r="L25" s="19" t="s">
        <v>141</v>
      </c>
    </row>
    <row r="26" spans="1:13">
      <c r="A26" s="56">
        <f>DATE($A3,$B3,21)</f>
        <v>43302</v>
      </c>
      <c r="B26" s="26">
        <f t="shared" si="1"/>
        <v>7</v>
      </c>
      <c r="C26" s="57">
        <f t="shared" si="2"/>
        <v>7</v>
      </c>
      <c r="D26" s="32"/>
      <c r="E26" s="32"/>
      <c r="F26" s="13">
        <v>4.1666666666666664E-2</v>
      </c>
      <c r="G26" s="13">
        <f t="shared" si="3"/>
        <v>0</v>
      </c>
      <c r="H26" s="13" t="str">
        <f t="shared" si="4"/>
        <v/>
      </c>
      <c r="I26" s="9"/>
      <c r="J26" s="9"/>
      <c r="K26" s="33"/>
    </row>
    <row r="27" spans="1:13">
      <c r="A27" s="58">
        <f>DATE($A3,$B3,22)</f>
        <v>43303</v>
      </c>
      <c r="B27" s="26">
        <f t="shared" si="1"/>
        <v>1</v>
      </c>
      <c r="C27" s="59">
        <f t="shared" si="2"/>
        <v>1</v>
      </c>
      <c r="D27" s="34"/>
      <c r="E27" s="34"/>
      <c r="F27" s="15">
        <v>4.1666666666666664E-2</v>
      </c>
      <c r="G27" s="15">
        <f t="shared" si="3"/>
        <v>0</v>
      </c>
      <c r="H27" s="15" t="str">
        <f t="shared" si="4"/>
        <v/>
      </c>
      <c r="I27" s="10"/>
      <c r="J27" s="10"/>
      <c r="K27" s="36"/>
    </row>
    <row r="28" spans="1:13">
      <c r="A28" s="47">
        <f>DATE($A3,$B3,23)</f>
        <v>43304</v>
      </c>
      <c r="B28" s="26">
        <f t="shared" si="1"/>
        <v>2</v>
      </c>
      <c r="C28" s="67">
        <f t="shared" si="2"/>
        <v>2</v>
      </c>
      <c r="D28" s="52"/>
      <c r="E28" s="52">
        <v>0.75</v>
      </c>
      <c r="F28" s="53">
        <v>4.1666666666666664E-2</v>
      </c>
      <c r="G28" s="53">
        <f t="shared" si="3"/>
        <v>0.75</v>
      </c>
      <c r="H28" s="53" t="str">
        <f t="shared" si="4"/>
        <v/>
      </c>
      <c r="I28" s="51"/>
      <c r="J28" s="51" t="s">
        <v>122</v>
      </c>
    </row>
    <row r="29" spans="1:13">
      <c r="A29" s="47">
        <f>DATE($A3,$B3,24)</f>
        <v>43305</v>
      </c>
      <c r="B29" s="26">
        <f t="shared" si="1"/>
        <v>3</v>
      </c>
      <c r="C29" s="48">
        <f t="shared" si="2"/>
        <v>3</v>
      </c>
      <c r="D29" s="24">
        <v>0.375</v>
      </c>
      <c r="E29" s="24">
        <v>0.8125</v>
      </c>
      <c r="F29" s="11">
        <v>4.1666666666666664E-2</v>
      </c>
      <c r="G29" s="11">
        <f t="shared" si="3"/>
        <v>0.4375</v>
      </c>
      <c r="H29" s="11">
        <f t="shared" si="4"/>
        <v>0.39583333333333331</v>
      </c>
      <c r="I29" s="8"/>
      <c r="J29" s="8" t="s">
        <v>143</v>
      </c>
      <c r="L29" s="19" t="s">
        <v>145</v>
      </c>
    </row>
    <row r="30" spans="1:13">
      <c r="A30" s="47">
        <f>DATE($A3,$B3,25)</f>
        <v>43306</v>
      </c>
      <c r="B30" s="26">
        <f t="shared" si="1"/>
        <v>4</v>
      </c>
      <c r="C30" s="48">
        <f t="shared" si="2"/>
        <v>4</v>
      </c>
      <c r="D30" s="24">
        <v>0.375</v>
      </c>
      <c r="E30" s="24">
        <v>0.79166666666666663</v>
      </c>
      <c r="F30" s="11">
        <v>4.1666666666666664E-2</v>
      </c>
      <c r="G30" s="11">
        <f t="shared" si="3"/>
        <v>0.41666666666666663</v>
      </c>
      <c r="H30" s="11">
        <f t="shared" si="4"/>
        <v>0.37499999999999994</v>
      </c>
      <c r="I30" s="8"/>
      <c r="J30" s="8" t="s">
        <v>147</v>
      </c>
      <c r="L30" s="19" t="s">
        <v>144</v>
      </c>
    </row>
    <row r="31" spans="1:13">
      <c r="A31" s="47">
        <f>DATE($A3,$B3,26)</f>
        <v>43307</v>
      </c>
      <c r="B31" s="26">
        <f t="shared" si="1"/>
        <v>5</v>
      </c>
      <c r="C31" s="48">
        <f t="shared" si="2"/>
        <v>5</v>
      </c>
      <c r="D31" s="24">
        <v>0.375</v>
      </c>
      <c r="E31" s="24">
        <v>0.75</v>
      </c>
      <c r="F31" s="11">
        <v>4.1666666666666664E-2</v>
      </c>
      <c r="G31" s="11">
        <f t="shared" si="3"/>
        <v>0.375</v>
      </c>
      <c r="H31" s="11">
        <f t="shared" si="4"/>
        <v>0.33333333333333331</v>
      </c>
      <c r="I31" s="8"/>
      <c r="J31" s="8" t="s">
        <v>146</v>
      </c>
      <c r="L31" s="19" t="s">
        <v>148</v>
      </c>
      <c r="M31" s="19" t="s">
        <v>149</v>
      </c>
    </row>
    <row r="32" spans="1:13">
      <c r="A32" s="47">
        <f>DATE($A3,$B3,27)</f>
        <v>43308</v>
      </c>
      <c r="B32" s="26">
        <f t="shared" si="1"/>
        <v>6</v>
      </c>
      <c r="C32" s="48">
        <f t="shared" si="2"/>
        <v>6</v>
      </c>
      <c r="D32" s="24">
        <v>0.375</v>
      </c>
      <c r="E32" s="24">
        <v>0.75</v>
      </c>
      <c r="F32" s="11">
        <v>4.1666666666666664E-2</v>
      </c>
      <c r="G32" s="11">
        <f t="shared" si="3"/>
        <v>0.375</v>
      </c>
      <c r="H32" s="11">
        <f t="shared" si="4"/>
        <v>0.33333333333333331</v>
      </c>
      <c r="I32" s="8"/>
      <c r="J32" s="8" t="s">
        <v>150</v>
      </c>
      <c r="L32" s="19" t="s">
        <v>151</v>
      </c>
    </row>
    <row r="33" spans="1:13">
      <c r="A33" s="56">
        <f>DATE($A3,$B3,28)</f>
        <v>43309</v>
      </c>
      <c r="B33" s="26">
        <f t="shared" si="1"/>
        <v>7</v>
      </c>
      <c r="C33" s="57">
        <f t="shared" si="2"/>
        <v>7</v>
      </c>
      <c r="D33" s="32"/>
      <c r="E33" s="32"/>
      <c r="F33" s="13">
        <v>4.1666666666666664E-2</v>
      </c>
      <c r="G33" s="13">
        <f t="shared" si="3"/>
        <v>0</v>
      </c>
      <c r="H33" s="13" t="str">
        <f t="shared" si="4"/>
        <v/>
      </c>
      <c r="I33" s="9"/>
      <c r="J33" s="9"/>
      <c r="K33" s="33"/>
    </row>
    <row r="34" spans="1:13">
      <c r="A34" s="58">
        <f>DATE($A3,$B3,29)</f>
        <v>43310</v>
      </c>
      <c r="B34" s="26">
        <f t="shared" si="1"/>
        <v>1</v>
      </c>
      <c r="C34" s="59">
        <f t="shared" si="2"/>
        <v>1</v>
      </c>
      <c r="D34" s="34"/>
      <c r="E34" s="34"/>
      <c r="F34" s="15">
        <v>4.1666666666666664E-2</v>
      </c>
      <c r="G34" s="15">
        <f t="shared" si="3"/>
        <v>0</v>
      </c>
      <c r="H34" s="15" t="str">
        <f t="shared" si="4"/>
        <v/>
      </c>
      <c r="I34" s="10"/>
      <c r="J34" s="10"/>
      <c r="K34" s="36"/>
    </row>
    <row r="35" spans="1:13">
      <c r="A35" s="47">
        <f>DATE($A3,$B3,30)</f>
        <v>43311</v>
      </c>
      <c r="B35" s="26">
        <f t="shared" si="1"/>
        <v>2</v>
      </c>
      <c r="C35" s="67">
        <f t="shared" si="2"/>
        <v>2</v>
      </c>
      <c r="D35" s="52"/>
      <c r="E35" s="52">
        <v>0.75</v>
      </c>
      <c r="F35" s="53">
        <v>4.1666666666666664E-2</v>
      </c>
      <c r="G35" s="53">
        <f t="shared" si="3"/>
        <v>0.75</v>
      </c>
      <c r="H35" s="53" t="str">
        <f t="shared" si="4"/>
        <v/>
      </c>
      <c r="I35" s="51"/>
      <c r="J35" s="51" t="s">
        <v>122</v>
      </c>
    </row>
    <row r="36" spans="1:13">
      <c r="A36" s="7">
        <f>DATE($A3,$B3,31)</f>
        <v>43312</v>
      </c>
      <c r="B36" s="26">
        <f t="shared" si="1"/>
        <v>3</v>
      </c>
      <c r="C36" s="48">
        <f t="shared" si="2"/>
        <v>3</v>
      </c>
      <c r="D36" s="24">
        <v>0.375</v>
      </c>
      <c r="E36" s="24">
        <v>0.75</v>
      </c>
      <c r="F36" s="11">
        <v>4.1666666666666664E-2</v>
      </c>
      <c r="G36" s="11">
        <f t="shared" si="3"/>
        <v>0.375</v>
      </c>
      <c r="H36" s="11">
        <f t="shared" si="4"/>
        <v>0.33333333333333331</v>
      </c>
      <c r="I36" s="8"/>
      <c r="J36" s="8" t="s">
        <v>152</v>
      </c>
      <c r="M36" s="19" t="s">
        <v>153</v>
      </c>
    </row>
    <row r="37" spans="1:13">
      <c r="H37" s="23"/>
    </row>
    <row r="38" spans="1:13">
      <c r="H38" s="21">
        <f>SUM(H6:H36)</f>
        <v>6.3749999999999982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696DC-EABB-4874-ADE2-6EAEE7ACED84}">
  <sheetPr codeName="Sheet10"/>
  <dimension ref="A2:L38"/>
  <sheetViews>
    <sheetView tabSelected="1" zoomScale="85" zoomScaleNormal="85" workbookViewId="0">
      <selection activeCell="J9" sqref="J9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8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43313</v>
      </c>
      <c r="B6" s="31">
        <f>WEEKDAY(A6)</f>
        <v>4</v>
      </c>
      <c r="C6" s="48">
        <f>WEEKDAY(A6,1)</f>
        <v>4</v>
      </c>
      <c r="D6" s="24">
        <v>0.375</v>
      </c>
      <c r="E6" s="24">
        <v>0.75</v>
      </c>
      <c r="F6" s="11">
        <v>4.1666666666666664E-2</v>
      </c>
      <c r="G6" s="11">
        <f>E6-D6</f>
        <v>0.375</v>
      </c>
      <c r="H6" s="11">
        <f t="shared" ref="H6:H16" si="0">IF(D6="","",G6-F6)</f>
        <v>0.33333333333333331</v>
      </c>
      <c r="I6" s="8"/>
      <c r="J6" s="8">
        <v>9044</v>
      </c>
      <c r="K6" s="20"/>
    </row>
    <row r="7" spans="1:12">
      <c r="A7" s="47">
        <f>DATE($A$3,$B$3,2)</f>
        <v>43314</v>
      </c>
      <c r="B7" s="31">
        <f t="shared" ref="B7:B36" si="1">WEEKDAY(A7)</f>
        <v>5</v>
      </c>
      <c r="C7" s="48">
        <f t="shared" ref="C7:C36" si="2">WEEKDAY(A7,1)</f>
        <v>5</v>
      </c>
      <c r="D7" s="24">
        <v>0.375</v>
      </c>
      <c r="E7" s="24">
        <v>0.75</v>
      </c>
      <c r="F7" s="11">
        <v>4.1666666666666664E-2</v>
      </c>
      <c r="G7" s="11">
        <f t="shared" ref="G7:G36" si="3">E7-D7</f>
        <v>0.375</v>
      </c>
      <c r="H7" s="11">
        <f t="shared" si="0"/>
        <v>0.33333333333333331</v>
      </c>
      <c r="I7" s="8"/>
      <c r="J7" s="8"/>
    </row>
    <row r="8" spans="1:12">
      <c r="A8" s="47">
        <f>DATE($A$3,$B$3,3)</f>
        <v>43315</v>
      </c>
      <c r="B8" s="31">
        <f t="shared" si="1"/>
        <v>6</v>
      </c>
      <c r="C8" s="48">
        <f t="shared" si="2"/>
        <v>6</v>
      </c>
      <c r="D8" s="24">
        <v>0.375</v>
      </c>
      <c r="E8" s="24">
        <v>0.75</v>
      </c>
      <c r="F8" s="11">
        <v>4.1666666666666664E-2</v>
      </c>
      <c r="G8" s="11">
        <f t="shared" si="3"/>
        <v>0.375</v>
      </c>
      <c r="H8" s="11">
        <f t="shared" si="0"/>
        <v>0.33333333333333331</v>
      </c>
      <c r="I8" s="8"/>
      <c r="J8" s="8"/>
    </row>
    <row r="9" spans="1:12" ht="21.75">
      <c r="A9" s="56">
        <f>DATE($A$3,$B$3,4)</f>
        <v>43316</v>
      </c>
      <c r="B9" s="31">
        <f t="shared" si="1"/>
        <v>7</v>
      </c>
      <c r="C9" s="57">
        <f t="shared" si="2"/>
        <v>7</v>
      </c>
      <c r="D9" s="32"/>
      <c r="E9" s="32"/>
      <c r="F9" s="13">
        <v>4.1666666666666664E-2</v>
      </c>
      <c r="G9" s="13">
        <f t="shared" si="3"/>
        <v>0</v>
      </c>
      <c r="H9" s="13" t="str">
        <f t="shared" si="0"/>
        <v/>
      </c>
      <c r="I9" s="9"/>
      <c r="J9" s="9"/>
      <c r="K9" s="68" t="s">
        <v>5</v>
      </c>
    </row>
    <row r="10" spans="1:12">
      <c r="A10" s="58">
        <f>DATE($A3,$B3,5)</f>
        <v>43317</v>
      </c>
      <c r="B10" s="31">
        <f t="shared" si="1"/>
        <v>1</v>
      </c>
      <c r="C10" s="59">
        <f t="shared" si="2"/>
        <v>1</v>
      </c>
      <c r="D10" s="34"/>
      <c r="E10" s="34"/>
      <c r="F10" s="15">
        <v>4.1666666666666664E-2</v>
      </c>
      <c r="G10" s="15">
        <f t="shared" si="3"/>
        <v>0</v>
      </c>
      <c r="H10" s="15" t="str">
        <f t="shared" si="0"/>
        <v/>
      </c>
      <c r="I10" s="10"/>
      <c r="J10" s="10"/>
      <c r="K10" s="36"/>
    </row>
    <row r="11" spans="1:12">
      <c r="A11" s="47">
        <f>DATE($A3,$B3,6)</f>
        <v>43318</v>
      </c>
      <c r="B11" s="31">
        <f t="shared" si="1"/>
        <v>2</v>
      </c>
      <c r="C11" s="48">
        <f t="shared" si="2"/>
        <v>2</v>
      </c>
      <c r="D11" s="24"/>
      <c r="E11" s="24"/>
      <c r="F11" s="11">
        <v>4.1666666666666664E-2</v>
      </c>
      <c r="G11" s="11">
        <f t="shared" si="3"/>
        <v>0</v>
      </c>
      <c r="H11" s="11" t="str">
        <f t="shared" si="0"/>
        <v/>
      </c>
      <c r="I11" s="8"/>
      <c r="J11" s="8"/>
    </row>
    <row r="12" spans="1:12">
      <c r="A12" s="47">
        <f>DATE($A3,$B3,7)</f>
        <v>43319</v>
      </c>
      <c r="B12" s="31">
        <f t="shared" si="1"/>
        <v>3</v>
      </c>
      <c r="C12" s="48">
        <f t="shared" si="2"/>
        <v>3</v>
      </c>
      <c r="D12" s="24"/>
      <c r="E12" s="24"/>
      <c r="F12" s="11">
        <v>4.1666666666666664E-2</v>
      </c>
      <c r="G12" s="11">
        <f t="shared" si="3"/>
        <v>0</v>
      </c>
      <c r="H12" s="11" t="str">
        <f t="shared" si="0"/>
        <v/>
      </c>
      <c r="I12" s="8"/>
      <c r="J12" s="8"/>
      <c r="L12" s="21"/>
    </row>
    <row r="13" spans="1:12">
      <c r="A13" s="47">
        <f>DATE($A3,$B3,8)</f>
        <v>43320</v>
      </c>
      <c r="B13" s="31">
        <f t="shared" si="1"/>
        <v>4</v>
      </c>
      <c r="C13" s="48">
        <f t="shared" si="2"/>
        <v>4</v>
      </c>
      <c r="D13" s="24"/>
      <c r="E13" s="24"/>
      <c r="F13" s="11">
        <v>4.1666666666666664E-2</v>
      </c>
      <c r="G13" s="11">
        <f t="shared" si="3"/>
        <v>0</v>
      </c>
      <c r="H13" s="11" t="str">
        <f t="shared" si="0"/>
        <v/>
      </c>
      <c r="I13" s="8"/>
      <c r="J13" s="22"/>
    </row>
    <row r="14" spans="1:12">
      <c r="A14" s="47">
        <f>DATE($A3,$B3,9)</f>
        <v>43321</v>
      </c>
      <c r="B14" s="31">
        <f t="shared" si="1"/>
        <v>5</v>
      </c>
      <c r="C14" s="48">
        <f t="shared" si="2"/>
        <v>5</v>
      </c>
      <c r="D14" s="24"/>
      <c r="E14" s="24"/>
      <c r="F14" s="11">
        <v>4.1666666666666664E-2</v>
      </c>
      <c r="G14" s="11">
        <f t="shared" si="3"/>
        <v>0</v>
      </c>
      <c r="H14" s="11" t="str">
        <f t="shared" si="0"/>
        <v/>
      </c>
      <c r="I14" s="8"/>
      <c r="J14" s="8"/>
    </row>
    <row r="15" spans="1:12">
      <c r="A15" s="47">
        <f>DATE($A3,$B3,10)</f>
        <v>43322</v>
      </c>
      <c r="B15" s="31">
        <f t="shared" si="1"/>
        <v>6</v>
      </c>
      <c r="C15" s="48">
        <f t="shared" si="2"/>
        <v>6</v>
      </c>
      <c r="D15" s="24"/>
      <c r="E15" s="24"/>
      <c r="F15" s="11">
        <v>4.1666666666666664E-2</v>
      </c>
      <c r="G15" s="11">
        <f t="shared" si="3"/>
        <v>0</v>
      </c>
      <c r="H15" s="11" t="str">
        <f t="shared" si="0"/>
        <v/>
      </c>
      <c r="I15" s="8"/>
      <c r="J15" s="8"/>
    </row>
    <row r="16" spans="1:12">
      <c r="A16" s="56">
        <f>DATE($A3,$B3,11)</f>
        <v>43323</v>
      </c>
      <c r="B16" s="31">
        <f t="shared" si="1"/>
        <v>7</v>
      </c>
      <c r="C16" s="57">
        <f t="shared" si="2"/>
        <v>7</v>
      </c>
      <c r="D16" s="32"/>
      <c r="E16" s="32"/>
      <c r="F16" s="13">
        <v>4.1666666666666664E-2</v>
      </c>
      <c r="G16" s="13">
        <f t="shared" si="3"/>
        <v>0</v>
      </c>
      <c r="H16" s="13" t="str">
        <f t="shared" si="0"/>
        <v/>
      </c>
      <c r="I16" s="9"/>
      <c r="J16" s="9"/>
      <c r="K16" s="33"/>
    </row>
    <row r="17" spans="1:11">
      <c r="A17" s="58">
        <f>DATE($A3,$B3,12)</f>
        <v>43324</v>
      </c>
      <c r="B17" s="31">
        <f t="shared" si="1"/>
        <v>1</v>
      </c>
      <c r="C17" s="59">
        <f t="shared" si="2"/>
        <v>1</v>
      </c>
      <c r="D17" s="34"/>
      <c r="E17" s="34"/>
      <c r="F17" s="15">
        <v>4.1666666666666664E-2</v>
      </c>
      <c r="G17" s="15">
        <f t="shared" si="3"/>
        <v>0</v>
      </c>
      <c r="H17" s="15" t="str">
        <f>IF(D17="","",G17-F17)</f>
        <v/>
      </c>
      <c r="I17" s="10"/>
      <c r="J17" s="10"/>
      <c r="K17" s="36"/>
    </row>
    <row r="18" spans="1:11">
      <c r="A18" s="47">
        <f>DATE($A3,$B3,13)</f>
        <v>43325</v>
      </c>
      <c r="B18" s="31">
        <f t="shared" si="1"/>
        <v>2</v>
      </c>
      <c r="C18" s="48">
        <f t="shared" si="2"/>
        <v>2</v>
      </c>
      <c r="D18" s="24"/>
      <c r="E18" s="24"/>
      <c r="F18" s="11">
        <v>4.1666666666666664E-2</v>
      </c>
      <c r="G18" s="11">
        <f t="shared" si="3"/>
        <v>0</v>
      </c>
      <c r="H18" s="11" t="str">
        <f t="shared" ref="H18:H36" si="4">IF(D18="","",G18-F18)</f>
        <v/>
      </c>
      <c r="I18" s="8"/>
      <c r="J18" s="8"/>
    </row>
    <row r="19" spans="1:11">
      <c r="A19" s="47">
        <f>DATE($A3,$B3,14)</f>
        <v>43326</v>
      </c>
      <c r="B19" s="31">
        <f t="shared" si="1"/>
        <v>3</v>
      </c>
      <c r="C19" s="48">
        <f t="shared" si="2"/>
        <v>3</v>
      </c>
      <c r="D19" s="24"/>
      <c r="E19" s="24"/>
      <c r="F19" s="11">
        <v>4.1666666666666664E-2</v>
      </c>
      <c r="G19" s="11">
        <f t="shared" si="3"/>
        <v>0</v>
      </c>
      <c r="H19" s="11" t="str">
        <f t="shared" si="4"/>
        <v/>
      </c>
      <c r="I19" s="8"/>
      <c r="J19" s="8"/>
    </row>
    <row r="20" spans="1:11">
      <c r="A20" s="47">
        <f>DATE($A3,$B3,15)</f>
        <v>43327</v>
      </c>
      <c r="B20" s="31">
        <f t="shared" si="1"/>
        <v>4</v>
      </c>
      <c r="C20" s="48">
        <f t="shared" si="2"/>
        <v>4</v>
      </c>
      <c r="D20" s="24"/>
      <c r="E20" s="24"/>
      <c r="F20" s="11">
        <v>4.1666666666666664E-2</v>
      </c>
      <c r="G20" s="11">
        <f t="shared" si="3"/>
        <v>0</v>
      </c>
      <c r="H20" s="11" t="str">
        <f t="shared" si="4"/>
        <v/>
      </c>
      <c r="I20" s="8"/>
      <c r="J20" s="8"/>
    </row>
    <row r="21" spans="1:11">
      <c r="A21" s="47">
        <f>DATE($A3,$B3,16)</f>
        <v>43328</v>
      </c>
      <c r="B21" s="31">
        <f t="shared" si="1"/>
        <v>5</v>
      </c>
      <c r="C21" s="48">
        <f t="shared" si="2"/>
        <v>5</v>
      </c>
      <c r="D21" s="24"/>
      <c r="E21" s="24"/>
      <c r="F21" s="11">
        <v>4.1666666666666664E-2</v>
      </c>
      <c r="G21" s="11">
        <f t="shared" si="3"/>
        <v>0</v>
      </c>
      <c r="H21" s="11" t="str">
        <f t="shared" si="4"/>
        <v/>
      </c>
      <c r="I21" s="8"/>
      <c r="J21" s="8"/>
    </row>
    <row r="22" spans="1:11">
      <c r="A22" s="47">
        <f>DATE($A3,$B3,17)</f>
        <v>43329</v>
      </c>
      <c r="B22" s="31">
        <f t="shared" si="1"/>
        <v>6</v>
      </c>
      <c r="C22" s="48">
        <f t="shared" si="2"/>
        <v>6</v>
      </c>
      <c r="D22" s="24"/>
      <c r="E22" s="24"/>
      <c r="F22" s="11">
        <v>4.1666666666666664E-2</v>
      </c>
      <c r="G22" s="11">
        <f t="shared" si="3"/>
        <v>0</v>
      </c>
      <c r="H22" s="11" t="str">
        <f t="shared" si="4"/>
        <v/>
      </c>
      <c r="I22" s="8"/>
      <c r="J22" s="8"/>
    </row>
    <row r="23" spans="1:11">
      <c r="A23" s="56">
        <f>DATE($A3,$B3,18)</f>
        <v>43330</v>
      </c>
      <c r="B23" s="31">
        <f t="shared" si="1"/>
        <v>7</v>
      </c>
      <c r="C23" s="57">
        <f t="shared" si="2"/>
        <v>7</v>
      </c>
      <c r="D23" s="32"/>
      <c r="E23" s="32"/>
      <c r="F23" s="13">
        <v>4.1666666666666664E-2</v>
      </c>
      <c r="G23" s="13">
        <f t="shared" si="3"/>
        <v>0</v>
      </c>
      <c r="H23" s="13" t="str">
        <f t="shared" si="4"/>
        <v/>
      </c>
      <c r="I23" s="9"/>
      <c r="J23" s="9"/>
      <c r="K23" s="33"/>
    </row>
    <row r="24" spans="1:11">
      <c r="A24" s="58">
        <f>DATE($A3,$B3,19)</f>
        <v>43331</v>
      </c>
      <c r="B24" s="31">
        <f t="shared" si="1"/>
        <v>1</v>
      </c>
      <c r="C24" s="59">
        <f t="shared" si="2"/>
        <v>1</v>
      </c>
      <c r="D24" s="34"/>
      <c r="E24" s="34"/>
      <c r="F24" s="15">
        <v>4.1666666666666664E-2</v>
      </c>
      <c r="G24" s="15">
        <f t="shared" si="3"/>
        <v>0</v>
      </c>
      <c r="H24" s="15" t="str">
        <f t="shared" si="4"/>
        <v/>
      </c>
      <c r="I24" s="10"/>
      <c r="J24" s="10"/>
      <c r="K24" s="36"/>
    </row>
    <row r="25" spans="1:11">
      <c r="A25" s="47">
        <f>DATE($A3,$B3,20)</f>
        <v>43332</v>
      </c>
      <c r="B25" s="31">
        <f t="shared" si="1"/>
        <v>2</v>
      </c>
      <c r="C25" s="48">
        <f t="shared" si="2"/>
        <v>2</v>
      </c>
      <c r="D25" s="24"/>
      <c r="E25" s="24"/>
      <c r="F25" s="11">
        <v>4.1666666666666664E-2</v>
      </c>
      <c r="G25" s="11">
        <f t="shared" si="3"/>
        <v>0</v>
      </c>
      <c r="H25" s="11" t="str">
        <f t="shared" si="4"/>
        <v/>
      </c>
      <c r="I25" s="8"/>
      <c r="J25" s="8"/>
    </row>
    <row r="26" spans="1:11">
      <c r="A26" s="47">
        <f>DATE($A3,$B3,21)</f>
        <v>43333</v>
      </c>
      <c r="B26" s="31">
        <f t="shared" si="1"/>
        <v>3</v>
      </c>
      <c r="C26" s="48">
        <f t="shared" si="2"/>
        <v>3</v>
      </c>
      <c r="D26" s="24"/>
      <c r="E26" s="24"/>
      <c r="F26" s="11">
        <v>4.1666666666666664E-2</v>
      </c>
      <c r="G26" s="11">
        <f t="shared" si="3"/>
        <v>0</v>
      </c>
      <c r="H26" s="11" t="str">
        <f t="shared" si="4"/>
        <v/>
      </c>
      <c r="I26" s="8"/>
      <c r="J26" s="8"/>
    </row>
    <row r="27" spans="1:11">
      <c r="A27" s="47">
        <f>DATE($A3,$B3,22)</f>
        <v>43334</v>
      </c>
      <c r="B27" s="31">
        <f t="shared" si="1"/>
        <v>4</v>
      </c>
      <c r="C27" s="48">
        <f t="shared" si="2"/>
        <v>4</v>
      </c>
      <c r="D27" s="24"/>
      <c r="E27" s="24"/>
      <c r="F27" s="11">
        <v>4.1666666666666664E-2</v>
      </c>
      <c r="G27" s="11">
        <f t="shared" si="3"/>
        <v>0</v>
      </c>
      <c r="H27" s="11" t="str">
        <f t="shared" si="4"/>
        <v/>
      </c>
      <c r="I27" s="8"/>
      <c r="J27" s="8"/>
    </row>
    <row r="28" spans="1:11">
      <c r="A28" s="47">
        <f>DATE($A3,$B3,23)</f>
        <v>43335</v>
      </c>
      <c r="B28" s="31">
        <f t="shared" si="1"/>
        <v>5</v>
      </c>
      <c r="C28" s="48">
        <f t="shared" si="2"/>
        <v>5</v>
      </c>
      <c r="D28" s="24"/>
      <c r="E28" s="24"/>
      <c r="F28" s="11">
        <v>4.1666666666666664E-2</v>
      </c>
      <c r="G28" s="11">
        <f t="shared" si="3"/>
        <v>0</v>
      </c>
      <c r="H28" s="11" t="str">
        <f t="shared" si="4"/>
        <v/>
      </c>
      <c r="I28" s="8"/>
      <c r="J28" s="8"/>
    </row>
    <row r="29" spans="1:11">
      <c r="A29" s="47">
        <f>DATE($A3,$B3,24)</f>
        <v>43336</v>
      </c>
      <c r="B29" s="31">
        <f t="shared" si="1"/>
        <v>6</v>
      </c>
      <c r="C29" s="48">
        <f t="shared" si="2"/>
        <v>6</v>
      </c>
      <c r="D29" s="24"/>
      <c r="E29" s="24"/>
      <c r="F29" s="11">
        <v>4.1666666666666664E-2</v>
      </c>
      <c r="G29" s="11">
        <f t="shared" si="3"/>
        <v>0</v>
      </c>
      <c r="H29" s="11" t="str">
        <f t="shared" si="4"/>
        <v/>
      </c>
      <c r="I29" s="8"/>
      <c r="J29" s="8"/>
    </row>
    <row r="30" spans="1:11">
      <c r="A30" s="56">
        <f>DATE($A3,$B3,25)</f>
        <v>43337</v>
      </c>
      <c r="B30" s="31">
        <f t="shared" si="1"/>
        <v>7</v>
      </c>
      <c r="C30" s="57">
        <f t="shared" si="2"/>
        <v>7</v>
      </c>
      <c r="D30" s="32"/>
      <c r="E30" s="32"/>
      <c r="F30" s="13">
        <v>4.1666666666666664E-2</v>
      </c>
      <c r="G30" s="13">
        <f t="shared" si="3"/>
        <v>0</v>
      </c>
      <c r="H30" s="13" t="str">
        <f t="shared" si="4"/>
        <v/>
      </c>
      <c r="I30" s="9"/>
      <c r="J30" s="9"/>
      <c r="K30" s="33"/>
    </row>
    <row r="31" spans="1:11">
      <c r="A31" s="58">
        <f>DATE($A3,$B3,26)</f>
        <v>43338</v>
      </c>
      <c r="B31" s="31">
        <f t="shared" si="1"/>
        <v>1</v>
      </c>
      <c r="C31" s="59">
        <f t="shared" si="2"/>
        <v>1</v>
      </c>
      <c r="D31" s="34"/>
      <c r="E31" s="34"/>
      <c r="F31" s="15">
        <v>4.1666666666666664E-2</v>
      </c>
      <c r="G31" s="15">
        <f t="shared" si="3"/>
        <v>0</v>
      </c>
      <c r="H31" s="15" t="str">
        <f t="shared" si="4"/>
        <v/>
      </c>
      <c r="I31" s="10"/>
      <c r="J31" s="10"/>
      <c r="K31" s="36"/>
    </row>
    <row r="32" spans="1:11">
      <c r="A32" s="47">
        <f>DATE($A3,$B3,27)</f>
        <v>43339</v>
      </c>
      <c r="B32" s="31">
        <f t="shared" si="1"/>
        <v>2</v>
      </c>
      <c r="C32" s="48">
        <f t="shared" si="2"/>
        <v>2</v>
      </c>
      <c r="D32" s="24"/>
      <c r="E32" s="24"/>
      <c r="F32" s="11">
        <v>4.1666666666666664E-2</v>
      </c>
      <c r="G32" s="11">
        <f t="shared" si="3"/>
        <v>0</v>
      </c>
      <c r="H32" s="11" t="str">
        <f t="shared" si="4"/>
        <v/>
      </c>
      <c r="I32" s="8"/>
      <c r="J32" s="8"/>
    </row>
    <row r="33" spans="1:10">
      <c r="A33" s="47">
        <f>DATE($A3,$B3,28)</f>
        <v>43340</v>
      </c>
      <c r="B33" s="31">
        <f t="shared" si="1"/>
        <v>3</v>
      </c>
      <c r="C33" s="48">
        <f t="shared" si="2"/>
        <v>3</v>
      </c>
      <c r="D33" s="24"/>
      <c r="E33" s="24"/>
      <c r="F33" s="11">
        <v>4.1666666666666664E-2</v>
      </c>
      <c r="G33" s="11">
        <f t="shared" si="3"/>
        <v>0</v>
      </c>
      <c r="H33" s="11" t="str">
        <f t="shared" si="4"/>
        <v/>
      </c>
      <c r="I33" s="8"/>
      <c r="J33" s="8"/>
    </row>
    <row r="34" spans="1:10">
      <c r="A34" s="47">
        <f>DATE($A3,$B3,29)</f>
        <v>43341</v>
      </c>
      <c r="B34" s="31">
        <f t="shared" si="1"/>
        <v>4</v>
      </c>
      <c r="C34" s="48">
        <f t="shared" si="2"/>
        <v>4</v>
      </c>
      <c r="D34" s="24"/>
      <c r="E34" s="24"/>
      <c r="F34" s="11">
        <v>4.1666666666666664E-2</v>
      </c>
      <c r="G34" s="11">
        <f t="shared" si="3"/>
        <v>0</v>
      </c>
      <c r="H34" s="11" t="str">
        <f t="shared" si="4"/>
        <v/>
      </c>
      <c r="I34" s="8"/>
      <c r="J34" s="8"/>
    </row>
    <row r="35" spans="1:10">
      <c r="A35" s="47">
        <f>DATE($A3,$B3,30)</f>
        <v>43342</v>
      </c>
      <c r="B35" s="31">
        <f t="shared" si="1"/>
        <v>5</v>
      </c>
      <c r="C35" s="48">
        <f t="shared" si="2"/>
        <v>5</v>
      </c>
      <c r="D35" s="24"/>
      <c r="E35" s="24"/>
      <c r="F35" s="11">
        <v>4.1666666666666664E-2</v>
      </c>
      <c r="G35" s="11">
        <f t="shared" si="3"/>
        <v>0</v>
      </c>
      <c r="H35" s="11" t="str">
        <f t="shared" si="4"/>
        <v/>
      </c>
      <c r="I35" s="8"/>
      <c r="J35" s="8"/>
    </row>
    <row r="36" spans="1:10">
      <c r="A36" s="7">
        <f>DATE($A3,$B3,31)</f>
        <v>43343</v>
      </c>
      <c r="B36" s="31">
        <f t="shared" si="1"/>
        <v>6</v>
      </c>
      <c r="C36" s="48">
        <f t="shared" si="2"/>
        <v>6</v>
      </c>
      <c r="D36" s="24"/>
      <c r="E36" s="24"/>
      <c r="F36" s="11">
        <v>4.1666666666666664E-2</v>
      </c>
      <c r="G36" s="11">
        <f t="shared" si="3"/>
        <v>0</v>
      </c>
      <c r="H36" s="11" t="str">
        <f t="shared" si="4"/>
        <v/>
      </c>
      <c r="I36" s="8"/>
      <c r="J36" s="8"/>
    </row>
    <row r="37" spans="1:10">
      <c r="H37" s="23"/>
    </row>
    <row r="38" spans="1:10">
      <c r="H38" s="21">
        <f>SUM(H6:H36)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97598-B448-44BB-91E7-1D5D715C13EA}">
  <sheetPr codeName="Sheet11"/>
  <dimension ref="A2:L38"/>
  <sheetViews>
    <sheetView topLeftCell="A16" zoomScale="85" zoomScaleNormal="85" workbookViewId="0">
      <selection activeCell="J28" sqref="J28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9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56">
        <f>DATE($A$3,$B$3,1)</f>
        <v>43344</v>
      </c>
      <c r="B6" s="70">
        <f>WEEKDAY(A6)</f>
        <v>7</v>
      </c>
      <c r="C6" s="57">
        <f>WEEKDAY(A6,1)</f>
        <v>7</v>
      </c>
      <c r="D6" s="32">
        <v>0.38541666666666669</v>
      </c>
      <c r="E6" s="32">
        <v>0.75</v>
      </c>
      <c r="F6" s="13">
        <v>4.1666666666666664E-2</v>
      </c>
      <c r="G6" s="13">
        <f>E6-D6</f>
        <v>0.36458333333333331</v>
      </c>
      <c r="H6" s="13">
        <f t="shared" ref="H6:H16" si="0">IF(D6="","",G6-F6)</f>
        <v>0.32291666666666663</v>
      </c>
      <c r="I6" s="9"/>
      <c r="J6" s="9"/>
      <c r="K6" s="68"/>
    </row>
    <row r="7" spans="1:12">
      <c r="A7" s="58">
        <f>DATE($A$3,$B$3,2)</f>
        <v>43345</v>
      </c>
      <c r="B7" s="70">
        <f t="shared" ref="B7:B35" si="1">WEEKDAY(A7)</f>
        <v>1</v>
      </c>
      <c r="C7" s="59">
        <f t="shared" ref="C7:C35" si="2">WEEKDAY(A7,1)</f>
        <v>1</v>
      </c>
      <c r="D7" s="34">
        <v>0.375</v>
      </c>
      <c r="E7" s="34">
        <v>0.79166666666666663</v>
      </c>
      <c r="F7" s="15">
        <v>4.1666666666666664E-2</v>
      </c>
      <c r="G7" s="15">
        <f t="shared" ref="G7:G35" si="3">E7-D7</f>
        <v>0.41666666666666663</v>
      </c>
      <c r="H7" s="15">
        <f t="shared" si="0"/>
        <v>0.37499999999999994</v>
      </c>
      <c r="I7" s="10"/>
      <c r="J7" s="10"/>
      <c r="K7" s="36"/>
    </row>
    <row r="8" spans="1:12">
      <c r="A8" s="47">
        <f>DATE($A$3,$B$3,3)</f>
        <v>43346</v>
      </c>
      <c r="B8" s="70">
        <f t="shared" si="1"/>
        <v>2</v>
      </c>
      <c r="C8" s="48">
        <f t="shared" si="2"/>
        <v>2</v>
      </c>
      <c r="D8" s="24"/>
      <c r="E8" s="24"/>
      <c r="F8" s="11">
        <v>4.1666666666666664E-2</v>
      </c>
      <c r="G8" s="11">
        <f t="shared" si="3"/>
        <v>0</v>
      </c>
      <c r="H8" s="11" t="str">
        <f t="shared" si="0"/>
        <v/>
      </c>
      <c r="I8" s="8"/>
      <c r="J8" s="8"/>
    </row>
    <row r="9" spans="1:12" ht="21.75">
      <c r="A9" s="47">
        <f>DATE($A$3,$B$3,4)</f>
        <v>43347</v>
      </c>
      <c r="B9" s="70">
        <f t="shared" si="1"/>
        <v>3</v>
      </c>
      <c r="C9" s="48">
        <f t="shared" si="2"/>
        <v>3</v>
      </c>
      <c r="D9" s="24"/>
      <c r="E9" s="24"/>
      <c r="F9" s="11">
        <v>4.1666666666666664E-2</v>
      </c>
      <c r="G9" s="11">
        <f t="shared" si="3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47">
        <f>DATE($A3,$B3,5)</f>
        <v>43348</v>
      </c>
      <c r="B10" s="70">
        <f t="shared" si="1"/>
        <v>4</v>
      </c>
      <c r="C10" s="48">
        <f t="shared" si="2"/>
        <v>4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47">
        <f>DATE($A3,$B3,6)</f>
        <v>43349</v>
      </c>
      <c r="B11" s="70">
        <f t="shared" si="1"/>
        <v>5</v>
      </c>
      <c r="C11" s="48">
        <f t="shared" si="2"/>
        <v>5</v>
      </c>
      <c r="D11" s="24"/>
      <c r="E11" s="24"/>
      <c r="F11" s="11">
        <v>4.1666666666666664E-2</v>
      </c>
      <c r="G11" s="11">
        <f t="shared" si="3"/>
        <v>0</v>
      </c>
      <c r="H11" s="11" t="str">
        <f t="shared" si="0"/>
        <v/>
      </c>
      <c r="I11" s="8"/>
      <c r="J11" s="8"/>
    </row>
    <row r="12" spans="1:12">
      <c r="A12" s="47">
        <f>DATE($A3,$B3,7)</f>
        <v>43350</v>
      </c>
      <c r="B12" s="70">
        <f t="shared" si="1"/>
        <v>6</v>
      </c>
      <c r="C12" s="48">
        <f t="shared" si="2"/>
        <v>6</v>
      </c>
      <c r="D12" s="24"/>
      <c r="E12" s="24"/>
      <c r="F12" s="11">
        <v>4.1666666666666664E-2</v>
      </c>
      <c r="G12" s="11">
        <f t="shared" si="3"/>
        <v>0</v>
      </c>
      <c r="H12" s="11" t="str">
        <f t="shared" si="0"/>
        <v/>
      </c>
      <c r="I12" s="8"/>
      <c r="J12" s="8"/>
      <c r="L12" s="21"/>
    </row>
    <row r="13" spans="1:12">
      <c r="A13" s="56">
        <f>DATE($A3,$B3,8)</f>
        <v>43351</v>
      </c>
      <c r="B13" s="70">
        <f t="shared" si="1"/>
        <v>7</v>
      </c>
      <c r="C13" s="57">
        <f t="shared" si="2"/>
        <v>7</v>
      </c>
      <c r="D13" s="32">
        <v>0.375</v>
      </c>
      <c r="E13" s="32">
        <v>0.8125</v>
      </c>
      <c r="F13" s="13">
        <v>4.1666666666666664E-2</v>
      </c>
      <c r="G13" s="13">
        <f t="shared" si="3"/>
        <v>0.4375</v>
      </c>
      <c r="H13" s="13">
        <f t="shared" si="0"/>
        <v>0.39583333333333331</v>
      </c>
      <c r="I13" s="9"/>
      <c r="J13" s="69"/>
      <c r="K13" s="33"/>
    </row>
    <row r="14" spans="1:12">
      <c r="A14" s="58">
        <f>DATE($A3,$B3,9)</f>
        <v>43352</v>
      </c>
      <c r="B14" s="70">
        <f t="shared" si="1"/>
        <v>1</v>
      </c>
      <c r="C14" s="59">
        <f t="shared" si="2"/>
        <v>1</v>
      </c>
      <c r="D14" s="34">
        <v>0.375</v>
      </c>
      <c r="E14" s="34">
        <v>0.78125</v>
      </c>
      <c r="F14" s="15">
        <v>4.1666666666666664E-2</v>
      </c>
      <c r="G14" s="15">
        <f t="shared" si="3"/>
        <v>0.40625</v>
      </c>
      <c r="H14" s="15">
        <f t="shared" si="0"/>
        <v>0.36458333333333331</v>
      </c>
      <c r="I14" s="10"/>
      <c r="J14" s="10"/>
      <c r="K14" s="36"/>
    </row>
    <row r="15" spans="1:12">
      <c r="A15" s="47">
        <f>DATE($A3,$B3,10)</f>
        <v>43353</v>
      </c>
      <c r="B15" s="70">
        <f t="shared" si="1"/>
        <v>2</v>
      </c>
      <c r="C15" s="48">
        <f t="shared" si="2"/>
        <v>2</v>
      </c>
      <c r="D15" s="24"/>
      <c r="E15" s="24"/>
      <c r="F15" s="11">
        <v>4.1666666666666664E-2</v>
      </c>
      <c r="G15" s="11">
        <f t="shared" si="3"/>
        <v>0</v>
      </c>
      <c r="H15" s="11" t="str">
        <f t="shared" si="0"/>
        <v/>
      </c>
      <c r="I15" s="8"/>
      <c r="J15" s="8"/>
    </row>
    <row r="16" spans="1:12">
      <c r="A16" s="47">
        <f>DATE($A3,$B3,11)</f>
        <v>43354</v>
      </c>
      <c r="B16" s="70">
        <f t="shared" si="1"/>
        <v>3</v>
      </c>
      <c r="C16" s="48">
        <f t="shared" si="2"/>
        <v>3</v>
      </c>
      <c r="D16" s="24"/>
      <c r="E16" s="24"/>
      <c r="F16" s="11">
        <v>4.1666666666666664E-2</v>
      </c>
      <c r="G16" s="11">
        <f t="shared" si="3"/>
        <v>0</v>
      </c>
      <c r="H16" s="11" t="str">
        <f t="shared" si="0"/>
        <v/>
      </c>
      <c r="I16" s="8"/>
      <c r="J16" s="8"/>
    </row>
    <row r="17" spans="1:11">
      <c r="A17" s="47">
        <f>DATE($A3,$B3,12)</f>
        <v>43355</v>
      </c>
      <c r="B17" s="70">
        <f t="shared" si="1"/>
        <v>4</v>
      </c>
      <c r="C17" s="48">
        <f t="shared" si="2"/>
        <v>4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1">
      <c r="A18" s="47">
        <f>DATE($A3,$B3,13)</f>
        <v>43356</v>
      </c>
      <c r="B18" s="70">
        <f t="shared" si="1"/>
        <v>5</v>
      </c>
      <c r="C18" s="48">
        <f t="shared" si="2"/>
        <v>5</v>
      </c>
      <c r="D18" s="24"/>
      <c r="E18" s="24"/>
      <c r="F18" s="11">
        <v>4.1666666666666664E-2</v>
      </c>
      <c r="G18" s="11">
        <f t="shared" si="3"/>
        <v>0</v>
      </c>
      <c r="H18" s="11" t="str">
        <f t="shared" ref="H18:H35" si="4">IF(D18="","",G18-F18)</f>
        <v/>
      </c>
      <c r="I18" s="8"/>
      <c r="J18" s="8"/>
    </row>
    <row r="19" spans="1:11">
      <c r="A19" s="47">
        <f>DATE($A3,$B3,14)</f>
        <v>43357</v>
      </c>
      <c r="B19" s="70">
        <f t="shared" si="1"/>
        <v>6</v>
      </c>
      <c r="C19" s="48">
        <f t="shared" si="2"/>
        <v>6</v>
      </c>
      <c r="D19" s="24"/>
      <c r="E19" s="24"/>
      <c r="F19" s="11">
        <v>4.1666666666666664E-2</v>
      </c>
      <c r="G19" s="11">
        <f t="shared" si="3"/>
        <v>0</v>
      </c>
      <c r="H19" s="11" t="str">
        <f t="shared" si="4"/>
        <v/>
      </c>
      <c r="I19" s="8"/>
      <c r="J19" s="8"/>
    </row>
    <row r="20" spans="1:11">
      <c r="A20" s="56">
        <f>DATE($A3,$B3,15)</f>
        <v>43358</v>
      </c>
      <c r="B20" s="70">
        <f t="shared" si="1"/>
        <v>7</v>
      </c>
      <c r="C20" s="57">
        <f t="shared" si="2"/>
        <v>7</v>
      </c>
      <c r="D20" s="32"/>
      <c r="E20" s="32"/>
      <c r="F20" s="13">
        <v>4.1666666666666664E-2</v>
      </c>
      <c r="G20" s="13">
        <f t="shared" si="3"/>
        <v>0</v>
      </c>
      <c r="H20" s="13" t="str">
        <f t="shared" si="4"/>
        <v/>
      </c>
      <c r="I20" s="9"/>
      <c r="J20" s="9"/>
      <c r="K20" s="33"/>
    </row>
    <row r="21" spans="1:11">
      <c r="A21" s="58">
        <f>DATE($A3,$B3,16)</f>
        <v>43359</v>
      </c>
      <c r="B21" s="70">
        <f t="shared" si="1"/>
        <v>1</v>
      </c>
      <c r="C21" s="59">
        <f t="shared" si="2"/>
        <v>1</v>
      </c>
      <c r="D21" s="34"/>
      <c r="E21" s="34"/>
      <c r="F21" s="15">
        <v>4.1666666666666664E-2</v>
      </c>
      <c r="G21" s="15">
        <f t="shared" si="3"/>
        <v>0</v>
      </c>
      <c r="H21" s="15" t="str">
        <f t="shared" si="4"/>
        <v/>
      </c>
      <c r="I21" s="10"/>
      <c r="J21" s="10"/>
      <c r="K21" s="36"/>
    </row>
    <row r="22" spans="1:11">
      <c r="A22" s="47">
        <f>DATE($A3,$B3,17)</f>
        <v>43360</v>
      </c>
      <c r="B22" s="70">
        <f t="shared" si="1"/>
        <v>2</v>
      </c>
      <c r="C22" s="48">
        <f t="shared" si="2"/>
        <v>2</v>
      </c>
      <c r="D22" s="24"/>
      <c r="E22" s="24"/>
      <c r="F22" s="11">
        <v>4.1666666666666664E-2</v>
      </c>
      <c r="G22" s="11">
        <f t="shared" si="3"/>
        <v>0</v>
      </c>
      <c r="H22" s="11" t="str">
        <f t="shared" si="4"/>
        <v/>
      </c>
      <c r="I22" s="8"/>
      <c r="J22" s="8"/>
    </row>
    <row r="23" spans="1:11">
      <c r="A23" s="47">
        <f>DATE($A3,$B3,18)</f>
        <v>43361</v>
      </c>
      <c r="B23" s="70">
        <f t="shared" si="1"/>
        <v>3</v>
      </c>
      <c r="C23" s="48">
        <f t="shared" si="2"/>
        <v>3</v>
      </c>
      <c r="D23" s="24"/>
      <c r="E23" s="24"/>
      <c r="F23" s="11">
        <v>4.1666666666666664E-2</v>
      </c>
      <c r="G23" s="11">
        <f t="shared" si="3"/>
        <v>0</v>
      </c>
      <c r="H23" s="11" t="str">
        <f t="shared" si="4"/>
        <v/>
      </c>
      <c r="I23" s="8"/>
      <c r="J23" s="8"/>
    </row>
    <row r="24" spans="1:11">
      <c r="A24" s="47">
        <f>DATE($A3,$B3,19)</f>
        <v>43362</v>
      </c>
      <c r="B24" s="70">
        <f t="shared" si="1"/>
        <v>4</v>
      </c>
      <c r="C24" s="48">
        <f t="shared" si="2"/>
        <v>4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1">
      <c r="A25" s="47">
        <f>DATE($A3,$B3,20)</f>
        <v>43363</v>
      </c>
      <c r="B25" s="70">
        <f t="shared" si="1"/>
        <v>5</v>
      </c>
      <c r="C25" s="48">
        <f t="shared" si="2"/>
        <v>5</v>
      </c>
      <c r="D25" s="24"/>
      <c r="E25" s="24"/>
      <c r="F25" s="11">
        <v>4.1666666666666664E-2</v>
      </c>
      <c r="G25" s="11">
        <f t="shared" si="3"/>
        <v>0</v>
      </c>
      <c r="H25" s="11" t="str">
        <f t="shared" si="4"/>
        <v/>
      </c>
      <c r="I25" s="8"/>
      <c r="J25" s="8"/>
    </row>
    <row r="26" spans="1:11">
      <c r="A26" s="47">
        <f>DATE($A3,$B3,21)</f>
        <v>43364</v>
      </c>
      <c r="B26" s="70">
        <f t="shared" si="1"/>
        <v>6</v>
      </c>
      <c r="C26" s="48">
        <f t="shared" si="2"/>
        <v>6</v>
      </c>
      <c r="D26" s="24"/>
      <c r="E26" s="24"/>
      <c r="F26" s="11">
        <v>4.1666666666666664E-2</v>
      </c>
      <c r="G26" s="11">
        <f t="shared" si="3"/>
        <v>0</v>
      </c>
      <c r="H26" s="11" t="str">
        <f t="shared" si="4"/>
        <v/>
      </c>
      <c r="I26" s="8"/>
      <c r="J26" s="8"/>
    </row>
    <row r="27" spans="1:11">
      <c r="A27" s="56">
        <f>DATE($A3,$B3,22)</f>
        <v>43365</v>
      </c>
      <c r="B27" s="70">
        <f t="shared" si="1"/>
        <v>7</v>
      </c>
      <c r="C27" s="57">
        <f t="shared" si="2"/>
        <v>7</v>
      </c>
      <c r="D27" s="32"/>
      <c r="E27" s="32"/>
      <c r="F27" s="13">
        <v>4.1666666666666664E-2</v>
      </c>
      <c r="G27" s="13">
        <f t="shared" si="3"/>
        <v>0</v>
      </c>
      <c r="H27" s="13" t="str">
        <f t="shared" si="4"/>
        <v/>
      </c>
      <c r="I27" s="9"/>
      <c r="J27" s="9"/>
      <c r="K27" s="33"/>
    </row>
    <row r="28" spans="1:11">
      <c r="A28" s="58">
        <f>DATE($A3,$B3,23)</f>
        <v>43366</v>
      </c>
      <c r="B28" s="70">
        <f t="shared" si="1"/>
        <v>1</v>
      </c>
      <c r="C28" s="59">
        <f t="shared" si="2"/>
        <v>1</v>
      </c>
      <c r="D28" s="34"/>
      <c r="E28" s="34"/>
      <c r="F28" s="15">
        <v>4.1666666666666664E-2</v>
      </c>
      <c r="G28" s="15">
        <f t="shared" si="3"/>
        <v>0</v>
      </c>
      <c r="H28" s="15" t="str">
        <f t="shared" si="4"/>
        <v/>
      </c>
      <c r="I28" s="10"/>
      <c r="J28" s="10"/>
      <c r="K28" s="36"/>
    </row>
    <row r="29" spans="1:11">
      <c r="A29" s="47">
        <f>DATE($A3,$B3,24)</f>
        <v>43367</v>
      </c>
      <c r="B29" s="70">
        <f t="shared" si="1"/>
        <v>2</v>
      </c>
      <c r="C29" s="48">
        <f t="shared" si="2"/>
        <v>2</v>
      </c>
      <c r="D29" s="24"/>
      <c r="E29" s="24"/>
      <c r="F29" s="11">
        <v>4.1666666666666664E-2</v>
      </c>
      <c r="G29" s="11">
        <f t="shared" si="3"/>
        <v>0</v>
      </c>
      <c r="H29" s="11" t="str">
        <f t="shared" si="4"/>
        <v/>
      </c>
      <c r="I29" s="8"/>
      <c r="J29" s="8"/>
    </row>
    <row r="30" spans="1:11">
      <c r="A30" s="47">
        <f>DATE($A3,$B3,25)</f>
        <v>43368</v>
      </c>
      <c r="B30" s="70">
        <f t="shared" si="1"/>
        <v>3</v>
      </c>
      <c r="C30" s="48">
        <f t="shared" si="2"/>
        <v>3</v>
      </c>
      <c r="D30" s="24"/>
      <c r="E30" s="24"/>
      <c r="F30" s="11">
        <v>4.1666666666666664E-2</v>
      </c>
      <c r="G30" s="11">
        <f t="shared" si="3"/>
        <v>0</v>
      </c>
      <c r="H30" s="11" t="str">
        <f t="shared" si="4"/>
        <v/>
      </c>
      <c r="I30" s="8"/>
      <c r="J30" s="8"/>
    </row>
    <row r="31" spans="1:11">
      <c r="A31" s="47">
        <f>DATE($A3,$B3,26)</f>
        <v>43369</v>
      </c>
      <c r="B31" s="70">
        <f t="shared" si="1"/>
        <v>4</v>
      </c>
      <c r="C31" s="48">
        <f t="shared" si="2"/>
        <v>4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1">
      <c r="A32" s="47">
        <f>DATE($A3,$B3,27)</f>
        <v>43370</v>
      </c>
      <c r="B32" s="70">
        <f t="shared" si="1"/>
        <v>5</v>
      </c>
      <c r="C32" s="48">
        <f t="shared" si="2"/>
        <v>5</v>
      </c>
      <c r="D32" s="24"/>
      <c r="E32" s="24"/>
      <c r="F32" s="11">
        <v>4.1666666666666664E-2</v>
      </c>
      <c r="G32" s="11">
        <f t="shared" si="3"/>
        <v>0</v>
      </c>
      <c r="H32" s="11" t="str">
        <f t="shared" si="4"/>
        <v/>
      </c>
      <c r="I32" s="8"/>
      <c r="J32" s="8"/>
    </row>
    <row r="33" spans="1:11">
      <c r="A33" s="47">
        <f>DATE($A3,$B3,28)</f>
        <v>43371</v>
      </c>
      <c r="B33" s="70">
        <f t="shared" si="1"/>
        <v>6</v>
      </c>
      <c r="C33" s="48">
        <f t="shared" si="2"/>
        <v>6</v>
      </c>
      <c r="D33" s="24"/>
      <c r="E33" s="24"/>
      <c r="F33" s="11">
        <v>4.1666666666666664E-2</v>
      </c>
      <c r="G33" s="11">
        <f t="shared" si="3"/>
        <v>0</v>
      </c>
      <c r="H33" s="11" t="str">
        <f t="shared" si="4"/>
        <v/>
      </c>
      <c r="I33" s="8"/>
      <c r="J33" s="8"/>
    </row>
    <row r="34" spans="1:11">
      <c r="A34" s="56">
        <f>DATE($A3,$B3,29)</f>
        <v>43372</v>
      </c>
      <c r="B34" s="70">
        <f t="shared" si="1"/>
        <v>7</v>
      </c>
      <c r="C34" s="57">
        <f t="shared" si="2"/>
        <v>7</v>
      </c>
      <c r="D34" s="32"/>
      <c r="E34" s="32"/>
      <c r="F34" s="13">
        <v>4.1666666666666664E-2</v>
      </c>
      <c r="G34" s="13">
        <f t="shared" si="3"/>
        <v>0</v>
      </c>
      <c r="H34" s="13" t="str">
        <f t="shared" si="4"/>
        <v/>
      </c>
      <c r="I34" s="9"/>
      <c r="J34" s="9"/>
      <c r="K34" s="33"/>
    </row>
    <row r="35" spans="1:11">
      <c r="A35" s="58">
        <f>DATE($A3,$B3,30)</f>
        <v>43373</v>
      </c>
      <c r="B35" s="70">
        <f t="shared" si="1"/>
        <v>1</v>
      </c>
      <c r="C35" s="59">
        <f t="shared" si="2"/>
        <v>1</v>
      </c>
      <c r="D35" s="34"/>
      <c r="E35" s="34"/>
      <c r="F35" s="15">
        <v>4.1666666666666664E-2</v>
      </c>
      <c r="G35" s="15">
        <f t="shared" si="3"/>
        <v>0</v>
      </c>
      <c r="H35" s="15" t="str">
        <f t="shared" si="4"/>
        <v/>
      </c>
      <c r="I35" s="10"/>
      <c r="J35" s="10"/>
      <c r="K35" s="36"/>
    </row>
    <row r="36" spans="1:11">
      <c r="A36" s="7"/>
      <c r="B36" s="70"/>
      <c r="C36" s="48"/>
      <c r="D36" s="24"/>
      <c r="E36" s="24"/>
      <c r="F36" s="11"/>
      <c r="G36" s="11"/>
      <c r="H36" s="11"/>
      <c r="I36" s="8"/>
      <c r="J36" s="8"/>
    </row>
    <row r="37" spans="1:11">
      <c r="H37" s="23"/>
    </row>
    <row r="38" spans="1:11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70D44-19FC-491D-969A-77080D9CDC2D}">
  <sheetPr codeName="Sheet12"/>
  <dimension ref="A2:L38"/>
  <sheetViews>
    <sheetView topLeftCell="A19" zoomScale="85" zoomScaleNormal="85" workbookViewId="0">
      <selection activeCell="I39" sqref="I39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10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43374</v>
      </c>
      <c r="B6" s="70">
        <f>WEEKDAY(A6)</f>
        <v>2</v>
      </c>
      <c r="C6" s="48">
        <f>WEEKDAY(A6,1)</f>
        <v>2</v>
      </c>
      <c r="D6" s="24">
        <v>0.38541666666666669</v>
      </c>
      <c r="E6" s="24">
        <v>0.75</v>
      </c>
      <c r="F6" s="11">
        <v>4.1666666666666664E-2</v>
      </c>
      <c r="G6" s="11">
        <f>E6-D6</f>
        <v>0.36458333333333331</v>
      </c>
      <c r="H6" s="11">
        <f t="shared" ref="H6:H16" si="0">IF(D6="","",G6-F6)</f>
        <v>0.32291666666666663</v>
      </c>
      <c r="I6" s="8"/>
      <c r="J6" s="8"/>
      <c r="K6" s="20"/>
    </row>
    <row r="7" spans="1:12">
      <c r="A7" s="47">
        <f>DATE($A$3,$B$3,2)</f>
        <v>43375</v>
      </c>
      <c r="B7" s="70">
        <f t="shared" ref="B7:B36" si="1">WEEKDAY(A7)</f>
        <v>3</v>
      </c>
      <c r="C7" s="48">
        <f t="shared" ref="C7:C36" si="2">WEEKDAY(A7,1)</f>
        <v>3</v>
      </c>
      <c r="D7" s="24">
        <v>0.375</v>
      </c>
      <c r="E7" s="24">
        <v>0.79166666666666663</v>
      </c>
      <c r="F7" s="11">
        <v>4.1666666666666664E-2</v>
      </c>
      <c r="G7" s="11">
        <f t="shared" ref="G7:G36" si="3">E7-D7</f>
        <v>0.41666666666666663</v>
      </c>
      <c r="H7" s="11">
        <f t="shared" si="0"/>
        <v>0.37499999999999994</v>
      </c>
      <c r="I7" s="8"/>
      <c r="J7" s="8"/>
    </row>
    <row r="8" spans="1:12">
      <c r="A8" s="47">
        <f>DATE($A$3,$B$3,3)</f>
        <v>43376</v>
      </c>
      <c r="B8" s="70">
        <f t="shared" si="1"/>
        <v>4</v>
      </c>
      <c r="C8" s="48">
        <f t="shared" si="2"/>
        <v>4</v>
      </c>
      <c r="D8" s="24"/>
      <c r="E8" s="24"/>
      <c r="F8" s="11">
        <v>4.1666666666666664E-2</v>
      </c>
      <c r="G8" s="11">
        <f t="shared" si="3"/>
        <v>0</v>
      </c>
      <c r="H8" s="11" t="str">
        <f t="shared" si="0"/>
        <v/>
      </c>
      <c r="I8" s="8"/>
      <c r="J8" s="8"/>
    </row>
    <row r="9" spans="1:12" ht="21.75">
      <c r="A9" s="47">
        <f>DATE($A$3,$B$3,4)</f>
        <v>43377</v>
      </c>
      <c r="B9" s="70">
        <f t="shared" si="1"/>
        <v>5</v>
      </c>
      <c r="C9" s="48">
        <f t="shared" si="2"/>
        <v>5</v>
      </c>
      <c r="D9" s="24"/>
      <c r="E9" s="24"/>
      <c r="F9" s="11">
        <v>4.1666666666666664E-2</v>
      </c>
      <c r="G9" s="11">
        <f t="shared" si="3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47">
        <f>DATE($A3,$B3,5)</f>
        <v>43378</v>
      </c>
      <c r="B10" s="70">
        <f t="shared" si="1"/>
        <v>6</v>
      </c>
      <c r="C10" s="48">
        <f t="shared" si="2"/>
        <v>6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56">
        <f>DATE($A3,$B3,6)</f>
        <v>43379</v>
      </c>
      <c r="B11" s="70">
        <f t="shared" si="1"/>
        <v>7</v>
      </c>
      <c r="C11" s="57">
        <f t="shared" si="2"/>
        <v>7</v>
      </c>
      <c r="D11" s="32"/>
      <c r="E11" s="32"/>
      <c r="F11" s="13">
        <v>4.1666666666666664E-2</v>
      </c>
      <c r="G11" s="13">
        <f t="shared" si="3"/>
        <v>0</v>
      </c>
      <c r="H11" s="13" t="str">
        <f t="shared" si="0"/>
        <v/>
      </c>
      <c r="I11" s="9"/>
      <c r="J11" s="9"/>
      <c r="K11" s="33"/>
    </row>
    <row r="12" spans="1:12">
      <c r="A12" s="58">
        <f>DATE($A3,$B3,7)</f>
        <v>43380</v>
      </c>
      <c r="B12" s="70">
        <f t="shared" si="1"/>
        <v>1</v>
      </c>
      <c r="C12" s="59">
        <f t="shared" si="2"/>
        <v>1</v>
      </c>
      <c r="D12" s="34"/>
      <c r="E12" s="34"/>
      <c r="F12" s="15">
        <v>4.1666666666666664E-2</v>
      </c>
      <c r="G12" s="15">
        <f t="shared" si="3"/>
        <v>0</v>
      </c>
      <c r="H12" s="15" t="str">
        <f t="shared" si="0"/>
        <v/>
      </c>
      <c r="I12" s="10"/>
      <c r="J12" s="10"/>
      <c r="K12" s="36"/>
      <c r="L12" s="21"/>
    </row>
    <row r="13" spans="1:12">
      <c r="A13" s="47">
        <f>DATE($A3,$B3,8)</f>
        <v>43381</v>
      </c>
      <c r="B13" s="70">
        <f t="shared" si="1"/>
        <v>2</v>
      </c>
      <c r="C13" s="48">
        <f t="shared" si="2"/>
        <v>2</v>
      </c>
      <c r="D13" s="24">
        <v>0.375</v>
      </c>
      <c r="E13" s="24">
        <v>0.8125</v>
      </c>
      <c r="F13" s="11">
        <v>4.1666666666666664E-2</v>
      </c>
      <c r="G13" s="11">
        <f t="shared" si="3"/>
        <v>0.4375</v>
      </c>
      <c r="H13" s="11">
        <f t="shared" si="0"/>
        <v>0.39583333333333331</v>
      </c>
      <c r="I13" s="8"/>
      <c r="J13" s="22"/>
    </row>
    <row r="14" spans="1:12">
      <c r="A14" s="47">
        <f>DATE($A3,$B3,9)</f>
        <v>43382</v>
      </c>
      <c r="B14" s="70">
        <f t="shared" si="1"/>
        <v>3</v>
      </c>
      <c r="C14" s="48">
        <f t="shared" si="2"/>
        <v>3</v>
      </c>
      <c r="D14" s="24">
        <v>0.375</v>
      </c>
      <c r="E14" s="24">
        <v>0.78125</v>
      </c>
      <c r="F14" s="11">
        <v>4.1666666666666664E-2</v>
      </c>
      <c r="G14" s="11">
        <f t="shared" si="3"/>
        <v>0.40625</v>
      </c>
      <c r="H14" s="11">
        <f t="shared" si="0"/>
        <v>0.36458333333333331</v>
      </c>
      <c r="I14" s="8"/>
      <c r="J14" s="8"/>
    </row>
    <row r="15" spans="1:12">
      <c r="A15" s="47">
        <f>DATE($A3,$B3,10)</f>
        <v>43383</v>
      </c>
      <c r="B15" s="70">
        <f t="shared" si="1"/>
        <v>4</v>
      </c>
      <c r="C15" s="48">
        <f t="shared" si="2"/>
        <v>4</v>
      </c>
      <c r="D15" s="24"/>
      <c r="E15" s="24"/>
      <c r="F15" s="11">
        <v>4.1666666666666664E-2</v>
      </c>
      <c r="G15" s="11">
        <f t="shared" si="3"/>
        <v>0</v>
      </c>
      <c r="H15" s="11" t="str">
        <f t="shared" si="0"/>
        <v/>
      </c>
      <c r="I15" s="8"/>
      <c r="J15" s="8"/>
    </row>
    <row r="16" spans="1:12">
      <c r="A16" s="47">
        <f>DATE($A3,$B3,11)</f>
        <v>43384</v>
      </c>
      <c r="B16" s="70">
        <f t="shared" si="1"/>
        <v>5</v>
      </c>
      <c r="C16" s="48">
        <f t="shared" si="2"/>
        <v>5</v>
      </c>
      <c r="D16" s="24"/>
      <c r="E16" s="24"/>
      <c r="F16" s="11">
        <v>4.1666666666666664E-2</v>
      </c>
      <c r="G16" s="11">
        <f t="shared" si="3"/>
        <v>0</v>
      </c>
      <c r="H16" s="11" t="str">
        <f t="shared" si="0"/>
        <v/>
      </c>
      <c r="I16" s="8"/>
      <c r="J16" s="8"/>
    </row>
    <row r="17" spans="1:11">
      <c r="A17" s="47">
        <f>DATE($A3,$B3,12)</f>
        <v>43385</v>
      </c>
      <c r="B17" s="70">
        <f t="shared" si="1"/>
        <v>6</v>
      </c>
      <c r="C17" s="48">
        <f t="shared" si="2"/>
        <v>6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1">
      <c r="A18" s="56">
        <f>DATE($A3,$B3,13)</f>
        <v>43386</v>
      </c>
      <c r="B18" s="70">
        <f t="shared" si="1"/>
        <v>7</v>
      </c>
      <c r="C18" s="57">
        <f t="shared" si="2"/>
        <v>7</v>
      </c>
      <c r="D18" s="32"/>
      <c r="E18" s="32"/>
      <c r="F18" s="13">
        <v>4.1666666666666664E-2</v>
      </c>
      <c r="G18" s="13">
        <f t="shared" si="3"/>
        <v>0</v>
      </c>
      <c r="H18" s="13" t="str">
        <f t="shared" ref="H18:H36" si="4">IF(D18="","",G18-F18)</f>
        <v/>
      </c>
      <c r="I18" s="9"/>
      <c r="J18" s="9"/>
      <c r="K18" s="33"/>
    </row>
    <row r="19" spans="1:11">
      <c r="A19" s="58">
        <f>DATE($A3,$B3,14)</f>
        <v>43387</v>
      </c>
      <c r="B19" s="70">
        <f t="shared" si="1"/>
        <v>1</v>
      </c>
      <c r="C19" s="59">
        <f t="shared" si="2"/>
        <v>1</v>
      </c>
      <c r="D19" s="34"/>
      <c r="E19" s="34"/>
      <c r="F19" s="15">
        <v>4.1666666666666664E-2</v>
      </c>
      <c r="G19" s="15">
        <f t="shared" si="3"/>
        <v>0</v>
      </c>
      <c r="H19" s="15" t="str">
        <f t="shared" si="4"/>
        <v/>
      </c>
      <c r="I19" s="10"/>
      <c r="J19" s="10"/>
      <c r="K19" s="36"/>
    </row>
    <row r="20" spans="1:11">
      <c r="A20" s="47">
        <f>DATE($A3,$B3,15)</f>
        <v>43388</v>
      </c>
      <c r="B20" s="70">
        <f t="shared" si="1"/>
        <v>2</v>
      </c>
      <c r="C20" s="48">
        <f t="shared" si="2"/>
        <v>2</v>
      </c>
      <c r="D20" s="24"/>
      <c r="E20" s="24"/>
      <c r="F20" s="11">
        <v>4.1666666666666664E-2</v>
      </c>
      <c r="G20" s="11">
        <f t="shared" si="3"/>
        <v>0</v>
      </c>
      <c r="H20" s="11" t="str">
        <f t="shared" si="4"/>
        <v/>
      </c>
      <c r="I20" s="8"/>
      <c r="J20" s="8"/>
    </row>
    <row r="21" spans="1:11">
      <c r="A21" s="47">
        <f>DATE($A3,$B3,16)</f>
        <v>43389</v>
      </c>
      <c r="B21" s="70">
        <f t="shared" si="1"/>
        <v>3</v>
      </c>
      <c r="C21" s="48">
        <f t="shared" si="2"/>
        <v>3</v>
      </c>
      <c r="D21" s="24"/>
      <c r="E21" s="24"/>
      <c r="F21" s="11">
        <v>4.1666666666666664E-2</v>
      </c>
      <c r="G21" s="11">
        <f t="shared" si="3"/>
        <v>0</v>
      </c>
      <c r="H21" s="11" t="str">
        <f t="shared" si="4"/>
        <v/>
      </c>
      <c r="I21" s="8"/>
      <c r="J21" s="8"/>
    </row>
    <row r="22" spans="1:11">
      <c r="A22" s="47">
        <f>DATE($A3,$B3,17)</f>
        <v>43390</v>
      </c>
      <c r="B22" s="70">
        <f t="shared" si="1"/>
        <v>4</v>
      </c>
      <c r="C22" s="48">
        <f t="shared" si="2"/>
        <v>4</v>
      </c>
      <c r="D22" s="24"/>
      <c r="E22" s="24"/>
      <c r="F22" s="11">
        <v>4.1666666666666664E-2</v>
      </c>
      <c r="G22" s="11">
        <f t="shared" si="3"/>
        <v>0</v>
      </c>
      <c r="H22" s="11" t="str">
        <f t="shared" si="4"/>
        <v/>
      </c>
      <c r="I22" s="8"/>
      <c r="J22" s="8"/>
    </row>
    <row r="23" spans="1:11">
      <c r="A23" s="47">
        <f>DATE($A3,$B3,18)</f>
        <v>43391</v>
      </c>
      <c r="B23" s="70">
        <f t="shared" si="1"/>
        <v>5</v>
      </c>
      <c r="C23" s="48">
        <f t="shared" si="2"/>
        <v>5</v>
      </c>
      <c r="D23" s="24"/>
      <c r="E23" s="24"/>
      <c r="F23" s="11">
        <v>4.1666666666666664E-2</v>
      </c>
      <c r="G23" s="11">
        <f t="shared" si="3"/>
        <v>0</v>
      </c>
      <c r="H23" s="11" t="str">
        <f t="shared" si="4"/>
        <v/>
      </c>
      <c r="I23" s="8"/>
      <c r="J23" s="8"/>
    </row>
    <row r="24" spans="1:11">
      <c r="A24" s="47">
        <f>DATE($A3,$B3,19)</f>
        <v>43392</v>
      </c>
      <c r="B24" s="70">
        <f t="shared" si="1"/>
        <v>6</v>
      </c>
      <c r="C24" s="48">
        <f t="shared" si="2"/>
        <v>6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1">
      <c r="A25" s="56">
        <f>DATE($A3,$B3,20)</f>
        <v>43393</v>
      </c>
      <c r="B25" s="70">
        <f t="shared" si="1"/>
        <v>7</v>
      </c>
      <c r="C25" s="57">
        <f t="shared" si="2"/>
        <v>7</v>
      </c>
      <c r="D25" s="32"/>
      <c r="E25" s="32"/>
      <c r="F25" s="13">
        <v>4.1666666666666664E-2</v>
      </c>
      <c r="G25" s="13">
        <f t="shared" si="3"/>
        <v>0</v>
      </c>
      <c r="H25" s="13" t="str">
        <f t="shared" si="4"/>
        <v/>
      </c>
      <c r="I25" s="9"/>
      <c r="J25" s="9"/>
      <c r="K25" s="33"/>
    </row>
    <row r="26" spans="1:11">
      <c r="A26" s="58">
        <f>DATE($A3,$B3,21)</f>
        <v>43394</v>
      </c>
      <c r="B26" s="70">
        <f t="shared" si="1"/>
        <v>1</v>
      </c>
      <c r="C26" s="59">
        <f t="shared" si="2"/>
        <v>1</v>
      </c>
      <c r="D26" s="34"/>
      <c r="E26" s="34"/>
      <c r="F26" s="15">
        <v>4.1666666666666664E-2</v>
      </c>
      <c r="G26" s="15">
        <f t="shared" si="3"/>
        <v>0</v>
      </c>
      <c r="H26" s="15" t="str">
        <f t="shared" si="4"/>
        <v/>
      </c>
      <c r="I26" s="10"/>
      <c r="J26" s="10"/>
      <c r="K26" s="36"/>
    </row>
    <row r="27" spans="1:11">
      <c r="A27" s="47">
        <f>DATE($A3,$B3,22)</f>
        <v>43395</v>
      </c>
      <c r="B27" s="70">
        <f t="shared" si="1"/>
        <v>2</v>
      </c>
      <c r="C27" s="48">
        <f t="shared" si="2"/>
        <v>2</v>
      </c>
      <c r="D27" s="24"/>
      <c r="E27" s="24"/>
      <c r="F27" s="11">
        <v>4.1666666666666664E-2</v>
      </c>
      <c r="G27" s="11">
        <f t="shared" si="3"/>
        <v>0</v>
      </c>
      <c r="H27" s="11" t="str">
        <f t="shared" si="4"/>
        <v/>
      </c>
      <c r="I27" s="8"/>
      <c r="J27" s="8"/>
    </row>
    <row r="28" spans="1:11">
      <c r="A28" s="47">
        <f>DATE($A3,$B3,23)</f>
        <v>43396</v>
      </c>
      <c r="B28" s="70">
        <f t="shared" si="1"/>
        <v>3</v>
      </c>
      <c r="C28" s="48">
        <f t="shared" si="2"/>
        <v>3</v>
      </c>
      <c r="D28" s="24"/>
      <c r="E28" s="24"/>
      <c r="F28" s="11">
        <v>4.1666666666666664E-2</v>
      </c>
      <c r="G28" s="11">
        <f t="shared" si="3"/>
        <v>0</v>
      </c>
      <c r="H28" s="11" t="str">
        <f t="shared" si="4"/>
        <v/>
      </c>
      <c r="I28" s="8"/>
      <c r="J28" s="8"/>
    </row>
    <row r="29" spans="1:11">
      <c r="A29" s="47">
        <f>DATE($A3,$B3,24)</f>
        <v>43397</v>
      </c>
      <c r="B29" s="70">
        <f t="shared" si="1"/>
        <v>4</v>
      </c>
      <c r="C29" s="48">
        <f t="shared" si="2"/>
        <v>4</v>
      </c>
      <c r="D29" s="24"/>
      <c r="E29" s="24"/>
      <c r="F29" s="11">
        <v>4.1666666666666664E-2</v>
      </c>
      <c r="G29" s="11">
        <f t="shared" si="3"/>
        <v>0</v>
      </c>
      <c r="H29" s="11" t="str">
        <f t="shared" si="4"/>
        <v/>
      </c>
      <c r="I29" s="8"/>
      <c r="J29" s="8"/>
    </row>
    <row r="30" spans="1:11">
      <c r="A30" s="47">
        <f>DATE($A3,$B3,25)</f>
        <v>43398</v>
      </c>
      <c r="B30" s="70">
        <f t="shared" si="1"/>
        <v>5</v>
      </c>
      <c r="C30" s="48">
        <f t="shared" si="2"/>
        <v>5</v>
      </c>
      <c r="D30" s="24"/>
      <c r="E30" s="24"/>
      <c r="F30" s="11">
        <v>4.1666666666666664E-2</v>
      </c>
      <c r="G30" s="11">
        <f t="shared" si="3"/>
        <v>0</v>
      </c>
      <c r="H30" s="11" t="str">
        <f t="shared" si="4"/>
        <v/>
      </c>
      <c r="I30" s="8"/>
      <c r="J30" s="8"/>
    </row>
    <row r="31" spans="1:11">
      <c r="A31" s="47">
        <f>DATE($A3,$B3,26)</f>
        <v>43399</v>
      </c>
      <c r="B31" s="70">
        <f t="shared" si="1"/>
        <v>6</v>
      </c>
      <c r="C31" s="48">
        <f t="shared" si="2"/>
        <v>6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1">
      <c r="A32" s="56">
        <f>DATE($A3,$B3,27)</f>
        <v>43400</v>
      </c>
      <c r="B32" s="70">
        <f t="shared" si="1"/>
        <v>7</v>
      </c>
      <c r="C32" s="57">
        <f t="shared" si="2"/>
        <v>7</v>
      </c>
      <c r="D32" s="32"/>
      <c r="E32" s="32"/>
      <c r="F32" s="13">
        <v>4.1666666666666664E-2</v>
      </c>
      <c r="G32" s="13">
        <f t="shared" si="3"/>
        <v>0</v>
      </c>
      <c r="H32" s="13" t="str">
        <f t="shared" si="4"/>
        <v/>
      </c>
      <c r="I32" s="9"/>
      <c r="J32" s="9"/>
      <c r="K32" s="33"/>
    </row>
    <row r="33" spans="1:11">
      <c r="A33" s="58">
        <f>DATE($A3,$B3,28)</f>
        <v>43401</v>
      </c>
      <c r="B33" s="70">
        <f t="shared" si="1"/>
        <v>1</v>
      </c>
      <c r="C33" s="59">
        <f t="shared" si="2"/>
        <v>1</v>
      </c>
      <c r="D33" s="34"/>
      <c r="E33" s="34"/>
      <c r="F33" s="15">
        <v>4.1666666666666664E-2</v>
      </c>
      <c r="G33" s="15">
        <f t="shared" si="3"/>
        <v>0</v>
      </c>
      <c r="H33" s="15" t="str">
        <f t="shared" si="4"/>
        <v/>
      </c>
      <c r="I33" s="10"/>
      <c r="J33" s="10"/>
      <c r="K33" s="36"/>
    </row>
    <row r="34" spans="1:11">
      <c r="A34" s="47">
        <f>DATE($A3,$B3,29)</f>
        <v>43402</v>
      </c>
      <c r="B34" s="70">
        <f t="shared" si="1"/>
        <v>2</v>
      </c>
      <c r="C34" s="48">
        <f t="shared" si="2"/>
        <v>2</v>
      </c>
      <c r="D34" s="24"/>
      <c r="E34" s="24"/>
      <c r="F34" s="11">
        <v>4.1666666666666664E-2</v>
      </c>
      <c r="G34" s="11">
        <f t="shared" si="3"/>
        <v>0</v>
      </c>
      <c r="H34" s="11" t="str">
        <f t="shared" si="4"/>
        <v/>
      </c>
      <c r="I34" s="8"/>
      <c r="J34" s="8"/>
    </row>
    <row r="35" spans="1:11">
      <c r="A35" s="47">
        <f>DATE($A3,$B3,30)</f>
        <v>43403</v>
      </c>
      <c r="B35" s="70">
        <f t="shared" si="1"/>
        <v>3</v>
      </c>
      <c r="C35" s="48">
        <f t="shared" si="2"/>
        <v>3</v>
      </c>
      <c r="D35" s="24"/>
      <c r="E35" s="24"/>
      <c r="F35" s="11">
        <v>4.1666666666666664E-2</v>
      </c>
      <c r="G35" s="11">
        <f t="shared" si="3"/>
        <v>0</v>
      </c>
      <c r="H35" s="11" t="str">
        <f t="shared" si="4"/>
        <v/>
      </c>
      <c r="I35" s="8"/>
      <c r="J35" s="8"/>
    </row>
    <row r="36" spans="1:11">
      <c r="A36" s="7">
        <f>DATE($A3,$B3,31)</f>
        <v>43404</v>
      </c>
      <c r="B36" s="70">
        <f t="shared" si="1"/>
        <v>4</v>
      </c>
      <c r="C36" s="48">
        <f t="shared" si="2"/>
        <v>4</v>
      </c>
      <c r="D36" s="24"/>
      <c r="E36" s="24"/>
      <c r="F36" s="11">
        <v>4.1666666666666664E-2</v>
      </c>
      <c r="G36" s="11">
        <f t="shared" si="3"/>
        <v>0</v>
      </c>
      <c r="H36" s="11" t="str">
        <f t="shared" si="4"/>
        <v/>
      </c>
      <c r="I36" s="8"/>
      <c r="J36" s="8"/>
    </row>
    <row r="37" spans="1:11">
      <c r="H37" s="23"/>
    </row>
    <row r="38" spans="1:11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1BFDE-CAF5-4BA1-81E2-1BD2EE8415F2}">
  <sheetPr codeName="Sheet13"/>
  <dimension ref="A2:L38"/>
  <sheetViews>
    <sheetView topLeftCell="A19" zoomScale="85" zoomScaleNormal="85" workbookViewId="0">
      <selection activeCell="J41" sqref="J41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11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43405</v>
      </c>
      <c r="B6" s="70">
        <f>WEEKDAY(A6)</f>
        <v>5</v>
      </c>
      <c r="C6" s="48">
        <f>WEEKDAY(A6,1)</f>
        <v>5</v>
      </c>
      <c r="D6" s="24">
        <v>0.38541666666666669</v>
      </c>
      <c r="E6" s="24">
        <v>0.75</v>
      </c>
      <c r="F6" s="11">
        <v>4.1666666666666664E-2</v>
      </c>
      <c r="G6" s="11">
        <f>E6-D6</f>
        <v>0.36458333333333331</v>
      </c>
      <c r="H6" s="11">
        <f t="shared" ref="H6:H16" si="0">IF(D6="","",G6-F6)</f>
        <v>0.32291666666666663</v>
      </c>
      <c r="I6" s="8"/>
      <c r="J6" s="8"/>
      <c r="K6" s="20"/>
    </row>
    <row r="7" spans="1:12">
      <c r="A7" s="47">
        <f>DATE($A$3,$B$3,2)</f>
        <v>43406</v>
      </c>
      <c r="B7" s="70">
        <f t="shared" ref="B7:B35" si="1">WEEKDAY(A7)</f>
        <v>6</v>
      </c>
      <c r="C7" s="48">
        <f t="shared" ref="C7:C35" si="2">WEEKDAY(A7,1)</f>
        <v>6</v>
      </c>
      <c r="D7" s="24">
        <v>0.375</v>
      </c>
      <c r="E7" s="24">
        <v>0.79166666666666663</v>
      </c>
      <c r="F7" s="11">
        <v>4.1666666666666664E-2</v>
      </c>
      <c r="G7" s="11">
        <f t="shared" ref="G7:G35" si="3">E7-D7</f>
        <v>0.41666666666666663</v>
      </c>
      <c r="H7" s="11">
        <f t="shared" si="0"/>
        <v>0.37499999999999994</v>
      </c>
      <c r="I7" s="8"/>
      <c r="J7" s="8"/>
    </row>
    <row r="8" spans="1:12">
      <c r="A8" s="56">
        <f>DATE($A$3,$B$3,3)</f>
        <v>43407</v>
      </c>
      <c r="B8" s="70">
        <f t="shared" si="1"/>
        <v>7</v>
      </c>
      <c r="C8" s="57">
        <f t="shared" si="2"/>
        <v>7</v>
      </c>
      <c r="D8" s="32"/>
      <c r="E8" s="32"/>
      <c r="F8" s="13">
        <v>4.1666666666666664E-2</v>
      </c>
      <c r="G8" s="13">
        <f t="shared" si="3"/>
        <v>0</v>
      </c>
      <c r="H8" s="13" t="str">
        <f t="shared" si="0"/>
        <v/>
      </c>
      <c r="I8" s="9"/>
      <c r="J8" s="9"/>
      <c r="K8" s="33"/>
    </row>
    <row r="9" spans="1:12" ht="21.75">
      <c r="A9" s="58">
        <f>DATE($A$3,$B$3,4)</f>
        <v>43408</v>
      </c>
      <c r="B9" s="70">
        <f t="shared" si="1"/>
        <v>1</v>
      </c>
      <c r="C9" s="59">
        <f t="shared" si="2"/>
        <v>1</v>
      </c>
      <c r="D9" s="34"/>
      <c r="E9" s="34"/>
      <c r="F9" s="15">
        <v>4.1666666666666664E-2</v>
      </c>
      <c r="G9" s="15">
        <f t="shared" si="3"/>
        <v>0</v>
      </c>
      <c r="H9" s="15" t="str">
        <f t="shared" si="0"/>
        <v/>
      </c>
      <c r="I9" s="10"/>
      <c r="J9" s="10"/>
      <c r="K9" s="35" t="s">
        <v>5</v>
      </c>
    </row>
    <row r="10" spans="1:12">
      <c r="A10" s="47">
        <f>DATE($A3,$B3,5)</f>
        <v>43409</v>
      </c>
      <c r="B10" s="70">
        <f t="shared" si="1"/>
        <v>2</v>
      </c>
      <c r="C10" s="48">
        <f t="shared" si="2"/>
        <v>2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47">
        <f>DATE($A3,$B3,6)</f>
        <v>43410</v>
      </c>
      <c r="B11" s="70">
        <f t="shared" si="1"/>
        <v>3</v>
      </c>
      <c r="C11" s="48">
        <f t="shared" si="2"/>
        <v>3</v>
      </c>
      <c r="D11" s="24"/>
      <c r="E11" s="24"/>
      <c r="F11" s="11">
        <v>4.1666666666666664E-2</v>
      </c>
      <c r="G11" s="11">
        <f t="shared" si="3"/>
        <v>0</v>
      </c>
      <c r="H11" s="11" t="str">
        <f t="shared" si="0"/>
        <v/>
      </c>
      <c r="I11" s="8"/>
      <c r="J11" s="8"/>
    </row>
    <row r="12" spans="1:12">
      <c r="A12" s="47">
        <f>DATE($A3,$B3,7)</f>
        <v>43411</v>
      </c>
      <c r="B12" s="70">
        <f t="shared" si="1"/>
        <v>4</v>
      </c>
      <c r="C12" s="48">
        <f t="shared" si="2"/>
        <v>4</v>
      </c>
      <c r="D12" s="24"/>
      <c r="E12" s="24"/>
      <c r="F12" s="11">
        <v>4.1666666666666664E-2</v>
      </c>
      <c r="G12" s="11">
        <f t="shared" si="3"/>
        <v>0</v>
      </c>
      <c r="H12" s="11" t="str">
        <f t="shared" si="0"/>
        <v/>
      </c>
      <c r="I12" s="8"/>
      <c r="J12" s="8"/>
      <c r="L12" s="21"/>
    </row>
    <row r="13" spans="1:12">
      <c r="A13" s="47">
        <f>DATE($A3,$B3,8)</f>
        <v>43412</v>
      </c>
      <c r="B13" s="70">
        <f t="shared" si="1"/>
        <v>5</v>
      </c>
      <c r="C13" s="48">
        <f t="shared" si="2"/>
        <v>5</v>
      </c>
      <c r="D13" s="24">
        <v>0.375</v>
      </c>
      <c r="E13" s="24">
        <v>0.8125</v>
      </c>
      <c r="F13" s="11">
        <v>4.1666666666666664E-2</v>
      </c>
      <c r="G13" s="11">
        <f t="shared" si="3"/>
        <v>0.4375</v>
      </c>
      <c r="H13" s="11">
        <f t="shared" si="0"/>
        <v>0.39583333333333331</v>
      </c>
      <c r="I13" s="8"/>
      <c r="J13" s="22"/>
    </row>
    <row r="14" spans="1:12">
      <c r="A14" s="47">
        <f>DATE($A3,$B3,9)</f>
        <v>43413</v>
      </c>
      <c r="B14" s="70">
        <f t="shared" si="1"/>
        <v>6</v>
      </c>
      <c r="C14" s="48">
        <f t="shared" si="2"/>
        <v>6</v>
      </c>
      <c r="D14" s="24">
        <v>0.375</v>
      </c>
      <c r="E14" s="24">
        <v>0.78125</v>
      </c>
      <c r="F14" s="11">
        <v>4.1666666666666664E-2</v>
      </c>
      <c r="G14" s="11">
        <f t="shared" si="3"/>
        <v>0.40625</v>
      </c>
      <c r="H14" s="11">
        <f t="shared" si="0"/>
        <v>0.36458333333333331</v>
      </c>
      <c r="I14" s="8"/>
      <c r="J14" s="8"/>
    </row>
    <row r="15" spans="1:12">
      <c r="A15" s="56">
        <f>DATE($A3,$B3,10)</f>
        <v>43414</v>
      </c>
      <c r="B15" s="70">
        <f t="shared" si="1"/>
        <v>7</v>
      </c>
      <c r="C15" s="57">
        <f t="shared" si="2"/>
        <v>7</v>
      </c>
      <c r="D15" s="32"/>
      <c r="E15" s="32"/>
      <c r="F15" s="13">
        <v>4.1666666666666664E-2</v>
      </c>
      <c r="G15" s="13">
        <f t="shared" si="3"/>
        <v>0</v>
      </c>
      <c r="H15" s="13" t="str">
        <f t="shared" si="0"/>
        <v/>
      </c>
      <c r="I15" s="9"/>
      <c r="J15" s="9"/>
      <c r="K15" s="33"/>
    </row>
    <row r="16" spans="1:12">
      <c r="A16" s="58">
        <f>DATE($A3,$B3,11)</f>
        <v>43415</v>
      </c>
      <c r="B16" s="70">
        <f t="shared" si="1"/>
        <v>1</v>
      </c>
      <c r="C16" s="59">
        <f t="shared" si="2"/>
        <v>1</v>
      </c>
      <c r="D16" s="34"/>
      <c r="E16" s="34"/>
      <c r="F16" s="15">
        <v>4.1666666666666664E-2</v>
      </c>
      <c r="G16" s="15">
        <f t="shared" si="3"/>
        <v>0</v>
      </c>
      <c r="H16" s="15" t="str">
        <f t="shared" si="0"/>
        <v/>
      </c>
      <c r="I16" s="10"/>
      <c r="J16" s="10"/>
      <c r="K16" s="36"/>
    </row>
    <row r="17" spans="1:11">
      <c r="A17" s="47">
        <f>DATE($A3,$B3,12)</f>
        <v>43416</v>
      </c>
      <c r="B17" s="70">
        <f t="shared" si="1"/>
        <v>2</v>
      </c>
      <c r="C17" s="48">
        <f t="shared" si="2"/>
        <v>2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1">
      <c r="A18" s="47">
        <f>DATE($A3,$B3,13)</f>
        <v>43417</v>
      </c>
      <c r="B18" s="70">
        <f t="shared" si="1"/>
        <v>3</v>
      </c>
      <c r="C18" s="48">
        <f t="shared" si="2"/>
        <v>3</v>
      </c>
      <c r="D18" s="24"/>
      <c r="E18" s="24"/>
      <c r="F18" s="11">
        <v>4.1666666666666664E-2</v>
      </c>
      <c r="G18" s="11">
        <f t="shared" si="3"/>
        <v>0</v>
      </c>
      <c r="H18" s="11" t="str">
        <f t="shared" ref="H18:H35" si="4">IF(D18="","",G18-F18)</f>
        <v/>
      </c>
      <c r="I18" s="8"/>
      <c r="J18" s="8"/>
    </row>
    <row r="19" spans="1:11">
      <c r="A19" s="47">
        <f>DATE($A3,$B3,14)</f>
        <v>43418</v>
      </c>
      <c r="B19" s="70">
        <f t="shared" si="1"/>
        <v>4</v>
      </c>
      <c r="C19" s="48">
        <f t="shared" si="2"/>
        <v>4</v>
      </c>
      <c r="D19" s="24"/>
      <c r="E19" s="24"/>
      <c r="F19" s="11">
        <v>4.1666666666666664E-2</v>
      </c>
      <c r="G19" s="11">
        <f t="shared" si="3"/>
        <v>0</v>
      </c>
      <c r="H19" s="11" t="str">
        <f t="shared" si="4"/>
        <v/>
      </c>
      <c r="I19" s="8"/>
      <c r="J19" s="8"/>
    </row>
    <row r="20" spans="1:11">
      <c r="A20" s="47">
        <f>DATE($A3,$B3,15)</f>
        <v>43419</v>
      </c>
      <c r="B20" s="70">
        <f t="shared" si="1"/>
        <v>5</v>
      </c>
      <c r="C20" s="48">
        <f t="shared" si="2"/>
        <v>5</v>
      </c>
      <c r="D20" s="24"/>
      <c r="E20" s="24"/>
      <c r="F20" s="11">
        <v>4.1666666666666664E-2</v>
      </c>
      <c r="G20" s="11">
        <f t="shared" si="3"/>
        <v>0</v>
      </c>
      <c r="H20" s="11" t="str">
        <f t="shared" si="4"/>
        <v/>
      </c>
      <c r="I20" s="8"/>
      <c r="J20" s="8"/>
    </row>
    <row r="21" spans="1:11">
      <c r="A21" s="47">
        <f>DATE($A3,$B3,16)</f>
        <v>43420</v>
      </c>
      <c r="B21" s="70">
        <f t="shared" si="1"/>
        <v>6</v>
      </c>
      <c r="C21" s="48">
        <f t="shared" si="2"/>
        <v>6</v>
      </c>
      <c r="D21" s="24"/>
      <c r="E21" s="24"/>
      <c r="F21" s="11">
        <v>4.1666666666666664E-2</v>
      </c>
      <c r="G21" s="11">
        <f t="shared" si="3"/>
        <v>0</v>
      </c>
      <c r="H21" s="11" t="str">
        <f t="shared" si="4"/>
        <v/>
      </c>
      <c r="I21" s="8"/>
      <c r="J21" s="8"/>
    </row>
    <row r="22" spans="1:11">
      <c r="A22" s="56">
        <f>DATE($A3,$B3,17)</f>
        <v>43421</v>
      </c>
      <c r="B22" s="70">
        <f t="shared" si="1"/>
        <v>7</v>
      </c>
      <c r="C22" s="57">
        <f t="shared" si="2"/>
        <v>7</v>
      </c>
      <c r="D22" s="32"/>
      <c r="E22" s="32"/>
      <c r="F22" s="13">
        <v>4.1666666666666664E-2</v>
      </c>
      <c r="G22" s="13">
        <f t="shared" si="3"/>
        <v>0</v>
      </c>
      <c r="H22" s="13" t="str">
        <f t="shared" si="4"/>
        <v/>
      </c>
      <c r="I22" s="9"/>
      <c r="J22" s="9"/>
      <c r="K22" s="33"/>
    </row>
    <row r="23" spans="1:11">
      <c r="A23" s="58">
        <f>DATE($A3,$B3,18)</f>
        <v>43422</v>
      </c>
      <c r="B23" s="70">
        <f t="shared" si="1"/>
        <v>1</v>
      </c>
      <c r="C23" s="59">
        <f t="shared" si="2"/>
        <v>1</v>
      </c>
      <c r="D23" s="34"/>
      <c r="E23" s="34"/>
      <c r="F23" s="15">
        <v>4.1666666666666664E-2</v>
      </c>
      <c r="G23" s="15">
        <f t="shared" si="3"/>
        <v>0</v>
      </c>
      <c r="H23" s="15" t="str">
        <f t="shared" si="4"/>
        <v/>
      </c>
      <c r="I23" s="10"/>
      <c r="J23" s="10"/>
      <c r="K23" s="36"/>
    </row>
    <row r="24" spans="1:11">
      <c r="A24" s="47">
        <f>DATE($A3,$B3,19)</f>
        <v>43423</v>
      </c>
      <c r="B24" s="70">
        <f t="shared" si="1"/>
        <v>2</v>
      </c>
      <c r="C24" s="48">
        <f t="shared" si="2"/>
        <v>2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1">
      <c r="A25" s="47">
        <f>DATE($A3,$B3,20)</f>
        <v>43424</v>
      </c>
      <c r="B25" s="70">
        <f t="shared" si="1"/>
        <v>3</v>
      </c>
      <c r="C25" s="48">
        <f t="shared" si="2"/>
        <v>3</v>
      </c>
      <c r="D25" s="24"/>
      <c r="E25" s="24"/>
      <c r="F25" s="11">
        <v>4.1666666666666664E-2</v>
      </c>
      <c r="G25" s="11">
        <f t="shared" si="3"/>
        <v>0</v>
      </c>
      <c r="H25" s="11" t="str">
        <f t="shared" si="4"/>
        <v/>
      </c>
      <c r="I25" s="8"/>
      <c r="J25" s="8"/>
    </row>
    <row r="26" spans="1:11">
      <c r="A26" s="47">
        <f>DATE($A3,$B3,21)</f>
        <v>43425</v>
      </c>
      <c r="B26" s="70">
        <f t="shared" si="1"/>
        <v>4</v>
      </c>
      <c r="C26" s="48">
        <f t="shared" si="2"/>
        <v>4</v>
      </c>
      <c r="D26" s="24"/>
      <c r="E26" s="24"/>
      <c r="F26" s="11">
        <v>4.1666666666666664E-2</v>
      </c>
      <c r="G26" s="11">
        <f t="shared" si="3"/>
        <v>0</v>
      </c>
      <c r="H26" s="11" t="str">
        <f t="shared" si="4"/>
        <v/>
      </c>
      <c r="I26" s="8"/>
      <c r="J26" s="8"/>
    </row>
    <row r="27" spans="1:11">
      <c r="A27" s="47">
        <f>DATE($A3,$B3,22)</f>
        <v>43426</v>
      </c>
      <c r="B27" s="70">
        <f t="shared" si="1"/>
        <v>5</v>
      </c>
      <c r="C27" s="48">
        <f t="shared" si="2"/>
        <v>5</v>
      </c>
      <c r="D27" s="24"/>
      <c r="E27" s="24"/>
      <c r="F27" s="11">
        <v>4.1666666666666664E-2</v>
      </c>
      <c r="G27" s="11">
        <f t="shared" si="3"/>
        <v>0</v>
      </c>
      <c r="H27" s="11" t="str">
        <f t="shared" si="4"/>
        <v/>
      </c>
      <c r="I27" s="8"/>
      <c r="J27" s="8"/>
    </row>
    <row r="28" spans="1:11">
      <c r="A28" s="47">
        <f>DATE($A3,$B3,23)</f>
        <v>43427</v>
      </c>
      <c r="B28" s="70">
        <f t="shared" si="1"/>
        <v>6</v>
      </c>
      <c r="C28" s="48">
        <f t="shared" si="2"/>
        <v>6</v>
      </c>
      <c r="D28" s="24"/>
      <c r="E28" s="24"/>
      <c r="F28" s="11">
        <v>4.1666666666666664E-2</v>
      </c>
      <c r="G28" s="11">
        <f t="shared" si="3"/>
        <v>0</v>
      </c>
      <c r="H28" s="11" t="str">
        <f t="shared" si="4"/>
        <v/>
      </c>
      <c r="I28" s="8"/>
      <c r="J28" s="8"/>
    </row>
    <row r="29" spans="1:11">
      <c r="A29" s="56">
        <f>DATE($A3,$B3,24)</f>
        <v>43428</v>
      </c>
      <c r="B29" s="70">
        <f t="shared" si="1"/>
        <v>7</v>
      </c>
      <c r="C29" s="57">
        <f t="shared" si="2"/>
        <v>7</v>
      </c>
      <c r="D29" s="32"/>
      <c r="E29" s="32"/>
      <c r="F29" s="13">
        <v>4.1666666666666664E-2</v>
      </c>
      <c r="G29" s="13">
        <f t="shared" si="3"/>
        <v>0</v>
      </c>
      <c r="H29" s="13" t="str">
        <f t="shared" si="4"/>
        <v/>
      </c>
      <c r="I29" s="9"/>
      <c r="J29" s="9"/>
      <c r="K29" s="33"/>
    </row>
    <row r="30" spans="1:11">
      <c r="A30" s="58">
        <f>DATE($A3,$B3,25)</f>
        <v>43429</v>
      </c>
      <c r="B30" s="70">
        <f t="shared" si="1"/>
        <v>1</v>
      </c>
      <c r="C30" s="59">
        <f t="shared" si="2"/>
        <v>1</v>
      </c>
      <c r="D30" s="34"/>
      <c r="E30" s="34"/>
      <c r="F30" s="15">
        <v>4.1666666666666664E-2</v>
      </c>
      <c r="G30" s="15">
        <f t="shared" si="3"/>
        <v>0</v>
      </c>
      <c r="H30" s="15" t="str">
        <f t="shared" si="4"/>
        <v/>
      </c>
      <c r="I30" s="10"/>
      <c r="J30" s="10"/>
      <c r="K30" s="36"/>
    </row>
    <row r="31" spans="1:11">
      <c r="A31" s="47">
        <f>DATE($A3,$B3,26)</f>
        <v>43430</v>
      </c>
      <c r="B31" s="70">
        <f t="shared" si="1"/>
        <v>2</v>
      </c>
      <c r="C31" s="48">
        <f t="shared" si="2"/>
        <v>2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1">
      <c r="A32" s="47">
        <f>DATE($A3,$B3,27)</f>
        <v>43431</v>
      </c>
      <c r="B32" s="70">
        <f t="shared" si="1"/>
        <v>3</v>
      </c>
      <c r="C32" s="48">
        <f t="shared" si="2"/>
        <v>3</v>
      </c>
      <c r="D32" s="24"/>
      <c r="E32" s="24"/>
      <c r="F32" s="11">
        <v>4.1666666666666664E-2</v>
      </c>
      <c r="G32" s="11">
        <f t="shared" si="3"/>
        <v>0</v>
      </c>
      <c r="H32" s="11" t="str">
        <f t="shared" si="4"/>
        <v/>
      </c>
      <c r="I32" s="8"/>
      <c r="J32" s="8"/>
    </row>
    <row r="33" spans="1:11">
      <c r="A33" s="47">
        <f>DATE($A3,$B3,28)</f>
        <v>43432</v>
      </c>
      <c r="B33" s="70">
        <f t="shared" si="1"/>
        <v>4</v>
      </c>
      <c r="C33" s="48">
        <f t="shared" si="2"/>
        <v>4</v>
      </c>
      <c r="D33" s="24"/>
      <c r="E33" s="24"/>
      <c r="F33" s="11">
        <v>4.1666666666666664E-2</v>
      </c>
      <c r="G33" s="11">
        <f t="shared" si="3"/>
        <v>0</v>
      </c>
      <c r="H33" s="11" t="str">
        <f t="shared" si="4"/>
        <v/>
      </c>
      <c r="I33" s="8"/>
      <c r="J33" s="8"/>
    </row>
    <row r="34" spans="1:11">
      <c r="A34" s="47">
        <f>DATE($A3,$B3,29)</f>
        <v>43433</v>
      </c>
      <c r="B34" s="70">
        <f t="shared" si="1"/>
        <v>5</v>
      </c>
      <c r="C34" s="48">
        <f t="shared" si="2"/>
        <v>5</v>
      </c>
      <c r="D34" s="24"/>
      <c r="E34" s="24"/>
      <c r="F34" s="11">
        <v>4.1666666666666664E-2</v>
      </c>
      <c r="G34" s="11">
        <f t="shared" si="3"/>
        <v>0</v>
      </c>
      <c r="H34" s="11" t="str">
        <f t="shared" si="4"/>
        <v/>
      </c>
      <c r="I34" s="8"/>
      <c r="J34" s="8"/>
    </row>
    <row r="35" spans="1:11">
      <c r="A35" s="47">
        <f>DATE($A3,$B3,30)</f>
        <v>43434</v>
      </c>
      <c r="B35" s="70">
        <f t="shared" si="1"/>
        <v>6</v>
      </c>
      <c r="C35" s="48">
        <f t="shared" si="2"/>
        <v>6</v>
      </c>
      <c r="D35" s="24"/>
      <c r="E35" s="24"/>
      <c r="F35" s="11">
        <v>4.1666666666666664E-2</v>
      </c>
      <c r="G35" s="11">
        <f t="shared" si="3"/>
        <v>0</v>
      </c>
      <c r="H35" s="11" t="str">
        <f t="shared" si="4"/>
        <v/>
      </c>
      <c r="I35" s="8"/>
      <c r="J35" s="8"/>
    </row>
    <row r="36" spans="1:11">
      <c r="A36" s="12"/>
      <c r="B36" s="70"/>
      <c r="C36" s="57"/>
      <c r="D36" s="32"/>
      <c r="E36" s="32"/>
      <c r="F36" s="13"/>
      <c r="G36" s="13"/>
      <c r="H36" s="13"/>
      <c r="I36" s="9"/>
      <c r="J36" s="9"/>
      <c r="K36" s="33"/>
    </row>
    <row r="37" spans="1:11">
      <c r="H37" s="23"/>
    </row>
    <row r="38" spans="1:11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E4DED-1693-4A12-9971-C1A6F8AC0D90}">
  <sheetPr codeName="Sheet14"/>
  <dimension ref="A2:L38"/>
  <sheetViews>
    <sheetView zoomScale="85" zoomScaleNormal="85" workbookViewId="0">
      <selection activeCell="D15" sqref="D15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12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56">
        <f>DATE($A$3,$B$3,1)</f>
        <v>43435</v>
      </c>
      <c r="B6" s="70">
        <f>WEEKDAY(A6)</f>
        <v>7</v>
      </c>
      <c r="C6" s="57">
        <f>WEEKDAY(A6,1)</f>
        <v>7</v>
      </c>
      <c r="D6" s="32">
        <v>0.38541666666666669</v>
      </c>
      <c r="E6" s="32">
        <v>0.75</v>
      </c>
      <c r="F6" s="13">
        <v>4.1666666666666664E-2</v>
      </c>
      <c r="G6" s="13">
        <f>E6-D6</f>
        <v>0.36458333333333331</v>
      </c>
      <c r="H6" s="13">
        <f t="shared" ref="H6:H16" si="0">IF(D6="","",G6-F6)</f>
        <v>0.32291666666666663</v>
      </c>
      <c r="I6" s="9"/>
      <c r="J6" s="9"/>
      <c r="K6" s="68"/>
    </row>
    <row r="7" spans="1:12">
      <c r="A7" s="58">
        <f>DATE($A$3,$B$3,2)</f>
        <v>43436</v>
      </c>
      <c r="B7" s="70">
        <f t="shared" ref="B7:B36" si="1">WEEKDAY(A7)</f>
        <v>1</v>
      </c>
      <c r="C7" s="59">
        <f t="shared" ref="C7:C36" si="2">WEEKDAY(A7,1)</f>
        <v>1</v>
      </c>
      <c r="D7" s="34">
        <v>0.375</v>
      </c>
      <c r="E7" s="34">
        <v>0.79166666666666663</v>
      </c>
      <c r="F7" s="15">
        <v>4.1666666666666664E-2</v>
      </c>
      <c r="G7" s="15">
        <f t="shared" ref="G7:G36" si="3">E7-D7</f>
        <v>0.41666666666666663</v>
      </c>
      <c r="H7" s="15">
        <f t="shared" si="0"/>
        <v>0.37499999999999994</v>
      </c>
      <c r="I7" s="10"/>
      <c r="J7" s="10"/>
      <c r="K7" s="36"/>
    </row>
    <row r="8" spans="1:12">
      <c r="A8" s="47">
        <f>DATE($A$3,$B$3,3)</f>
        <v>43437</v>
      </c>
      <c r="B8" s="70">
        <f t="shared" si="1"/>
        <v>2</v>
      </c>
      <c r="C8" s="48">
        <f t="shared" si="2"/>
        <v>2</v>
      </c>
      <c r="D8" s="24"/>
      <c r="E8" s="24"/>
      <c r="F8" s="11">
        <v>4.1666666666666664E-2</v>
      </c>
      <c r="G8" s="11">
        <f t="shared" si="3"/>
        <v>0</v>
      </c>
      <c r="H8" s="11" t="str">
        <f t="shared" si="0"/>
        <v/>
      </c>
      <c r="I8" s="8"/>
      <c r="J8" s="8"/>
    </row>
    <row r="9" spans="1:12" ht="21.75">
      <c r="A9" s="47">
        <f>DATE($A$3,$B$3,4)</f>
        <v>43438</v>
      </c>
      <c r="B9" s="70">
        <f t="shared" si="1"/>
        <v>3</v>
      </c>
      <c r="C9" s="48">
        <f t="shared" si="2"/>
        <v>3</v>
      </c>
      <c r="D9" s="24"/>
      <c r="E9" s="24"/>
      <c r="F9" s="11">
        <v>4.1666666666666664E-2</v>
      </c>
      <c r="G9" s="11">
        <f t="shared" si="3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47">
        <f>DATE($A3,$B3,5)</f>
        <v>43439</v>
      </c>
      <c r="B10" s="70">
        <f t="shared" si="1"/>
        <v>4</v>
      </c>
      <c r="C10" s="48">
        <f t="shared" si="2"/>
        <v>4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47">
        <f>DATE($A3,$B3,6)</f>
        <v>43440</v>
      </c>
      <c r="B11" s="70">
        <f t="shared" si="1"/>
        <v>5</v>
      </c>
      <c r="C11" s="48">
        <f t="shared" si="2"/>
        <v>5</v>
      </c>
      <c r="D11" s="24"/>
      <c r="E11" s="24"/>
      <c r="F11" s="11">
        <v>4.1666666666666664E-2</v>
      </c>
      <c r="G11" s="11">
        <f t="shared" si="3"/>
        <v>0</v>
      </c>
      <c r="H11" s="11" t="str">
        <f t="shared" si="0"/>
        <v/>
      </c>
      <c r="I11" s="8"/>
      <c r="J11" s="8"/>
    </row>
    <row r="12" spans="1:12">
      <c r="A12" s="47">
        <f>DATE($A3,$B3,7)</f>
        <v>43441</v>
      </c>
      <c r="B12" s="70">
        <f t="shared" si="1"/>
        <v>6</v>
      </c>
      <c r="C12" s="48">
        <f t="shared" si="2"/>
        <v>6</v>
      </c>
      <c r="D12" s="24"/>
      <c r="E12" s="24"/>
      <c r="F12" s="11">
        <v>4.1666666666666664E-2</v>
      </c>
      <c r="G12" s="11">
        <f t="shared" si="3"/>
        <v>0</v>
      </c>
      <c r="H12" s="11" t="str">
        <f t="shared" si="0"/>
        <v/>
      </c>
      <c r="I12" s="8"/>
      <c r="J12" s="8"/>
      <c r="L12" s="21"/>
    </row>
    <row r="13" spans="1:12">
      <c r="A13" s="56">
        <f>DATE($A3,$B3,8)</f>
        <v>43442</v>
      </c>
      <c r="B13" s="70">
        <f t="shared" si="1"/>
        <v>7</v>
      </c>
      <c r="C13" s="57">
        <f t="shared" si="2"/>
        <v>7</v>
      </c>
      <c r="D13" s="32">
        <v>0.375</v>
      </c>
      <c r="E13" s="32">
        <v>0.8125</v>
      </c>
      <c r="F13" s="13">
        <v>4.1666666666666664E-2</v>
      </c>
      <c r="G13" s="13">
        <f t="shared" si="3"/>
        <v>0.4375</v>
      </c>
      <c r="H13" s="13">
        <f t="shared" si="0"/>
        <v>0.39583333333333331</v>
      </c>
      <c r="I13" s="9"/>
      <c r="J13" s="69"/>
      <c r="K13" s="33"/>
    </row>
    <row r="14" spans="1:12">
      <c r="A14" s="58">
        <f>DATE($A3,$B3,9)</f>
        <v>43443</v>
      </c>
      <c r="B14" s="70">
        <f t="shared" si="1"/>
        <v>1</v>
      </c>
      <c r="C14" s="59">
        <f t="shared" si="2"/>
        <v>1</v>
      </c>
      <c r="D14" s="34">
        <v>0.375</v>
      </c>
      <c r="E14" s="34">
        <v>0.78125</v>
      </c>
      <c r="F14" s="15">
        <v>4.1666666666666664E-2</v>
      </c>
      <c r="G14" s="15">
        <f t="shared" si="3"/>
        <v>0.40625</v>
      </c>
      <c r="H14" s="15">
        <f t="shared" si="0"/>
        <v>0.36458333333333331</v>
      </c>
      <c r="I14" s="10"/>
      <c r="J14" s="10"/>
      <c r="K14" s="36"/>
    </row>
    <row r="15" spans="1:12">
      <c r="A15" s="47">
        <f>DATE($A3,$B3,10)</f>
        <v>43444</v>
      </c>
      <c r="B15" s="70">
        <f t="shared" si="1"/>
        <v>2</v>
      </c>
      <c r="C15" s="48">
        <f t="shared" si="2"/>
        <v>2</v>
      </c>
      <c r="D15" s="24"/>
      <c r="E15" s="24"/>
      <c r="F15" s="11">
        <v>4.1666666666666664E-2</v>
      </c>
      <c r="G15" s="11">
        <f t="shared" si="3"/>
        <v>0</v>
      </c>
      <c r="H15" s="11" t="str">
        <f t="shared" si="0"/>
        <v/>
      </c>
      <c r="I15" s="8"/>
      <c r="J15" s="8"/>
    </row>
    <row r="16" spans="1:12">
      <c r="A16" s="47">
        <f>DATE($A3,$B3,11)</f>
        <v>43445</v>
      </c>
      <c r="B16" s="70">
        <f t="shared" si="1"/>
        <v>3</v>
      </c>
      <c r="C16" s="48">
        <f t="shared" si="2"/>
        <v>3</v>
      </c>
      <c r="D16" s="24"/>
      <c r="E16" s="24"/>
      <c r="F16" s="11">
        <v>4.1666666666666664E-2</v>
      </c>
      <c r="G16" s="11">
        <f t="shared" si="3"/>
        <v>0</v>
      </c>
      <c r="H16" s="11" t="str">
        <f t="shared" si="0"/>
        <v/>
      </c>
      <c r="I16" s="8"/>
      <c r="J16" s="8"/>
    </row>
    <row r="17" spans="1:11">
      <c r="A17" s="47">
        <f>DATE($A3,$B3,12)</f>
        <v>43446</v>
      </c>
      <c r="B17" s="70">
        <f t="shared" si="1"/>
        <v>4</v>
      </c>
      <c r="C17" s="48">
        <f t="shared" si="2"/>
        <v>4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1">
      <c r="A18" s="47">
        <f>DATE($A3,$B3,13)</f>
        <v>43447</v>
      </c>
      <c r="B18" s="70">
        <f t="shared" si="1"/>
        <v>5</v>
      </c>
      <c r="C18" s="48">
        <f t="shared" si="2"/>
        <v>5</v>
      </c>
      <c r="D18" s="24"/>
      <c r="E18" s="24"/>
      <c r="F18" s="11">
        <v>4.1666666666666664E-2</v>
      </c>
      <c r="G18" s="11">
        <f t="shared" si="3"/>
        <v>0</v>
      </c>
      <c r="H18" s="11" t="str">
        <f t="shared" ref="H18:H36" si="4">IF(D18="","",G18-F18)</f>
        <v/>
      </c>
      <c r="I18" s="8"/>
      <c r="J18" s="8"/>
    </row>
    <row r="19" spans="1:11">
      <c r="A19" s="47">
        <f>DATE($A3,$B3,14)</f>
        <v>43448</v>
      </c>
      <c r="B19" s="70">
        <f t="shared" si="1"/>
        <v>6</v>
      </c>
      <c r="C19" s="48">
        <f t="shared" si="2"/>
        <v>6</v>
      </c>
      <c r="D19" s="24"/>
      <c r="E19" s="24"/>
      <c r="F19" s="11">
        <v>4.1666666666666664E-2</v>
      </c>
      <c r="G19" s="11">
        <f t="shared" si="3"/>
        <v>0</v>
      </c>
      <c r="H19" s="11" t="str">
        <f t="shared" si="4"/>
        <v/>
      </c>
      <c r="I19" s="8"/>
      <c r="J19" s="8"/>
    </row>
    <row r="20" spans="1:11">
      <c r="A20" s="56">
        <f>DATE($A3,$B3,15)</f>
        <v>43449</v>
      </c>
      <c r="B20" s="70">
        <f t="shared" si="1"/>
        <v>7</v>
      </c>
      <c r="C20" s="57">
        <f t="shared" si="2"/>
        <v>7</v>
      </c>
      <c r="D20" s="32"/>
      <c r="E20" s="32"/>
      <c r="F20" s="13">
        <v>272</v>
      </c>
      <c r="G20" s="13">
        <f t="shared" si="3"/>
        <v>0</v>
      </c>
      <c r="H20" s="13" t="str">
        <f t="shared" si="4"/>
        <v/>
      </c>
      <c r="I20" s="9"/>
      <c r="J20" s="9"/>
      <c r="K20" s="33"/>
    </row>
    <row r="21" spans="1:11">
      <c r="A21" s="58">
        <f>DATE($A3,$B3,16)</f>
        <v>43450</v>
      </c>
      <c r="B21" s="70">
        <f t="shared" si="1"/>
        <v>1</v>
      </c>
      <c r="C21" s="59">
        <f t="shared" si="2"/>
        <v>1</v>
      </c>
      <c r="D21" s="34"/>
      <c r="E21" s="34"/>
      <c r="F21" s="15">
        <v>4.1666666666666664E-2</v>
      </c>
      <c r="G21" s="15">
        <f t="shared" si="3"/>
        <v>0</v>
      </c>
      <c r="H21" s="15" t="str">
        <f t="shared" si="4"/>
        <v/>
      </c>
      <c r="I21" s="10"/>
      <c r="J21" s="10"/>
      <c r="K21" s="36"/>
    </row>
    <row r="22" spans="1:11">
      <c r="A22" s="47">
        <f>DATE($A3,$B3,17)</f>
        <v>43451</v>
      </c>
      <c r="B22" s="70">
        <f t="shared" si="1"/>
        <v>2</v>
      </c>
      <c r="C22" s="48">
        <f t="shared" si="2"/>
        <v>2</v>
      </c>
      <c r="D22" s="24"/>
      <c r="E22" s="24"/>
      <c r="F22" s="11">
        <v>4.1666666666666664E-2</v>
      </c>
      <c r="G22" s="11">
        <f t="shared" si="3"/>
        <v>0</v>
      </c>
      <c r="H22" s="11" t="str">
        <f t="shared" si="4"/>
        <v/>
      </c>
      <c r="I22" s="8"/>
      <c r="J22" s="8"/>
    </row>
    <row r="23" spans="1:11">
      <c r="A23" s="47">
        <f>DATE($A3,$B3,18)</f>
        <v>43452</v>
      </c>
      <c r="B23" s="70">
        <f t="shared" si="1"/>
        <v>3</v>
      </c>
      <c r="C23" s="48">
        <f t="shared" si="2"/>
        <v>3</v>
      </c>
      <c r="D23" s="24"/>
      <c r="E23" s="24"/>
      <c r="F23" s="11">
        <v>4.1666666666666664E-2</v>
      </c>
      <c r="G23" s="11">
        <f t="shared" si="3"/>
        <v>0</v>
      </c>
      <c r="H23" s="11" t="str">
        <f t="shared" si="4"/>
        <v/>
      </c>
      <c r="I23" s="8"/>
      <c r="J23" s="8"/>
    </row>
    <row r="24" spans="1:11">
      <c r="A24" s="47">
        <f>DATE($A3,$B3,19)</f>
        <v>43453</v>
      </c>
      <c r="B24" s="70">
        <f t="shared" si="1"/>
        <v>4</v>
      </c>
      <c r="C24" s="48">
        <f t="shared" si="2"/>
        <v>4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1">
      <c r="A25" s="47">
        <f>DATE($A3,$B3,20)</f>
        <v>43454</v>
      </c>
      <c r="B25" s="70">
        <f t="shared" si="1"/>
        <v>5</v>
      </c>
      <c r="C25" s="48">
        <f t="shared" si="2"/>
        <v>5</v>
      </c>
      <c r="D25" s="24"/>
      <c r="E25" s="24"/>
      <c r="F25" s="11">
        <v>4.1666666666666664E-2</v>
      </c>
      <c r="G25" s="11">
        <f t="shared" si="3"/>
        <v>0</v>
      </c>
      <c r="H25" s="11" t="str">
        <f t="shared" si="4"/>
        <v/>
      </c>
      <c r="I25" s="8"/>
      <c r="J25" s="8"/>
    </row>
    <row r="26" spans="1:11">
      <c r="A26" s="47">
        <f>DATE($A3,$B3,21)</f>
        <v>43455</v>
      </c>
      <c r="B26" s="70">
        <f t="shared" si="1"/>
        <v>6</v>
      </c>
      <c r="C26" s="48">
        <f t="shared" si="2"/>
        <v>6</v>
      </c>
      <c r="D26" s="24"/>
      <c r="E26" s="24"/>
      <c r="F26" s="11">
        <v>4.1666666666666664E-2</v>
      </c>
      <c r="G26" s="11">
        <f t="shared" si="3"/>
        <v>0</v>
      </c>
      <c r="H26" s="11" t="str">
        <f t="shared" si="4"/>
        <v/>
      </c>
      <c r="I26" s="8"/>
      <c r="J26" s="8"/>
    </row>
    <row r="27" spans="1:11">
      <c r="A27" s="56">
        <f>DATE($A3,$B3,22)</f>
        <v>43456</v>
      </c>
      <c r="B27" s="70">
        <f t="shared" si="1"/>
        <v>7</v>
      </c>
      <c r="C27" s="57">
        <f t="shared" si="2"/>
        <v>7</v>
      </c>
      <c r="D27" s="32"/>
      <c r="E27" s="32"/>
      <c r="F27" s="13">
        <v>4.1666666666666664E-2</v>
      </c>
      <c r="G27" s="13">
        <f t="shared" si="3"/>
        <v>0</v>
      </c>
      <c r="H27" s="13" t="str">
        <f t="shared" si="4"/>
        <v/>
      </c>
      <c r="I27" s="9"/>
      <c r="J27" s="9"/>
      <c r="K27" s="33"/>
    </row>
    <row r="28" spans="1:11">
      <c r="A28" s="58">
        <f>DATE($A3,$B3,23)</f>
        <v>43457</v>
      </c>
      <c r="B28" s="70">
        <f t="shared" si="1"/>
        <v>1</v>
      </c>
      <c r="C28" s="59">
        <f t="shared" si="2"/>
        <v>1</v>
      </c>
      <c r="D28" s="34"/>
      <c r="E28" s="34"/>
      <c r="F28" s="15">
        <v>4.1666666666666664E-2</v>
      </c>
      <c r="G28" s="15">
        <f t="shared" si="3"/>
        <v>0</v>
      </c>
      <c r="H28" s="15" t="str">
        <f t="shared" si="4"/>
        <v/>
      </c>
      <c r="I28" s="10"/>
      <c r="J28" s="10"/>
      <c r="K28" s="36"/>
    </row>
    <row r="29" spans="1:11">
      <c r="A29" s="47">
        <f>DATE($A3,$B3,24)</f>
        <v>43458</v>
      </c>
      <c r="B29" s="70">
        <f t="shared" si="1"/>
        <v>2</v>
      </c>
      <c r="C29" s="48">
        <f t="shared" si="2"/>
        <v>2</v>
      </c>
      <c r="D29" s="24"/>
      <c r="E29" s="24"/>
      <c r="F29" s="11">
        <v>4.1666666666666664E-2</v>
      </c>
      <c r="G29" s="11">
        <f t="shared" si="3"/>
        <v>0</v>
      </c>
      <c r="H29" s="11" t="str">
        <f t="shared" si="4"/>
        <v/>
      </c>
      <c r="I29" s="8"/>
      <c r="J29" s="8"/>
    </row>
    <row r="30" spans="1:11">
      <c r="A30" s="47">
        <f>DATE($A3,$B3,25)</f>
        <v>43459</v>
      </c>
      <c r="B30" s="70">
        <f t="shared" si="1"/>
        <v>3</v>
      </c>
      <c r="C30" s="48">
        <f t="shared" si="2"/>
        <v>3</v>
      </c>
      <c r="D30" s="24"/>
      <c r="E30" s="24"/>
      <c r="F30" s="11">
        <v>4.1666666666666664E-2</v>
      </c>
      <c r="G30" s="11">
        <f t="shared" si="3"/>
        <v>0</v>
      </c>
      <c r="H30" s="11" t="str">
        <f t="shared" si="4"/>
        <v/>
      </c>
      <c r="I30" s="8"/>
      <c r="J30" s="8"/>
    </row>
    <row r="31" spans="1:11">
      <c r="A31" s="47">
        <f>DATE($A3,$B3,26)</f>
        <v>43460</v>
      </c>
      <c r="B31" s="70">
        <f t="shared" si="1"/>
        <v>4</v>
      </c>
      <c r="C31" s="48">
        <f t="shared" si="2"/>
        <v>4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1">
      <c r="A32" s="47">
        <f>DATE($A3,$B3,27)</f>
        <v>43461</v>
      </c>
      <c r="B32" s="70">
        <f t="shared" si="1"/>
        <v>5</v>
      </c>
      <c r="C32" s="48">
        <f t="shared" si="2"/>
        <v>5</v>
      </c>
      <c r="D32" s="24"/>
      <c r="E32" s="24"/>
      <c r="F32" s="11">
        <v>4.1666666666666664E-2</v>
      </c>
      <c r="G32" s="11">
        <f t="shared" si="3"/>
        <v>0</v>
      </c>
      <c r="H32" s="11" t="str">
        <f t="shared" si="4"/>
        <v/>
      </c>
      <c r="I32" s="8"/>
      <c r="J32" s="8"/>
    </row>
    <row r="33" spans="1:11">
      <c r="A33" s="47">
        <f>DATE($A3,$B3,28)</f>
        <v>43462</v>
      </c>
      <c r="B33" s="70">
        <f t="shared" si="1"/>
        <v>6</v>
      </c>
      <c r="C33" s="48">
        <f t="shared" si="2"/>
        <v>6</v>
      </c>
      <c r="D33" s="24"/>
      <c r="E33" s="24"/>
      <c r="F33" s="11">
        <v>4.1666666666666664E-2</v>
      </c>
      <c r="G33" s="11">
        <f t="shared" si="3"/>
        <v>0</v>
      </c>
      <c r="H33" s="11" t="str">
        <f t="shared" si="4"/>
        <v/>
      </c>
      <c r="I33" s="8"/>
      <c r="J33" s="8"/>
    </row>
    <row r="34" spans="1:11">
      <c r="A34" s="56">
        <f>DATE($A3,$B3,29)</f>
        <v>43463</v>
      </c>
      <c r="B34" s="70">
        <f t="shared" si="1"/>
        <v>7</v>
      </c>
      <c r="C34" s="57">
        <f t="shared" si="2"/>
        <v>7</v>
      </c>
      <c r="D34" s="32"/>
      <c r="E34" s="32"/>
      <c r="F34" s="13">
        <v>4.1666666666666664E-2</v>
      </c>
      <c r="G34" s="13">
        <f t="shared" si="3"/>
        <v>0</v>
      </c>
      <c r="H34" s="13" t="str">
        <f t="shared" si="4"/>
        <v/>
      </c>
      <c r="I34" s="9"/>
      <c r="J34" s="9"/>
      <c r="K34" s="33"/>
    </row>
    <row r="35" spans="1:11">
      <c r="A35" s="58">
        <f>DATE($A3,$B3,30)</f>
        <v>43464</v>
      </c>
      <c r="B35" s="70">
        <f t="shared" si="1"/>
        <v>1</v>
      </c>
      <c r="C35" s="59">
        <f t="shared" si="2"/>
        <v>1</v>
      </c>
      <c r="D35" s="34"/>
      <c r="E35" s="34"/>
      <c r="F35" s="15">
        <v>4.1666666666666664E-2</v>
      </c>
      <c r="G35" s="15">
        <f t="shared" si="3"/>
        <v>0</v>
      </c>
      <c r="H35" s="15" t="str">
        <f t="shared" si="4"/>
        <v/>
      </c>
      <c r="I35" s="10"/>
      <c r="J35" s="10"/>
      <c r="K35" s="36"/>
    </row>
    <row r="36" spans="1:11">
      <c r="A36" s="7">
        <f>DATE($A3,$B3,31)</f>
        <v>43465</v>
      </c>
      <c r="B36" s="70">
        <f t="shared" si="1"/>
        <v>2</v>
      </c>
      <c r="C36" s="48">
        <f t="shared" si="2"/>
        <v>2</v>
      </c>
      <c r="D36" s="24"/>
      <c r="E36" s="24"/>
      <c r="F36" s="11">
        <v>4.1666666666666664E-2</v>
      </c>
      <c r="G36" s="11">
        <f t="shared" si="3"/>
        <v>0</v>
      </c>
      <c r="H36" s="11" t="str">
        <f t="shared" si="4"/>
        <v/>
      </c>
      <c r="I36" s="8"/>
      <c r="J36" s="8"/>
    </row>
    <row r="37" spans="1:11">
      <c r="H37" s="23"/>
    </row>
    <row r="38" spans="1:11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3522A-B777-4907-AD51-B8DB0D21B57A}">
  <sheetPr codeName="Sheet7"/>
  <dimension ref="J6:J14"/>
  <sheetViews>
    <sheetView workbookViewId="0">
      <selection activeCell="J15" sqref="J15"/>
    </sheetView>
  </sheetViews>
  <sheetFormatPr defaultRowHeight="18.75"/>
  <sheetData>
    <row r="6" spans="10:10">
      <c r="J6">
        <v>1.5</v>
      </c>
    </row>
    <row r="7" spans="10:10">
      <c r="J7">
        <v>1</v>
      </c>
    </row>
    <row r="8" spans="10:10">
      <c r="J8">
        <v>1</v>
      </c>
    </row>
    <row r="9" spans="10:10">
      <c r="J9">
        <v>6</v>
      </c>
    </row>
    <row r="10" spans="10:10">
      <c r="J10">
        <v>3.5</v>
      </c>
    </row>
    <row r="11" spans="10:10">
      <c r="J11">
        <v>9</v>
      </c>
    </row>
    <row r="12" spans="10:10">
      <c r="J12">
        <f>SUM(J6:J11)</f>
        <v>22</v>
      </c>
    </row>
    <row r="14" spans="10:10">
      <c r="J14">
        <f>J12*60</f>
        <v>1320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hina</vt:lpstr>
      <vt:lpstr>hina_2</vt:lpstr>
      <vt:lpstr>2</vt:lpstr>
      <vt:lpstr>3</vt:lpstr>
      <vt:lpstr>４</vt:lpstr>
      <vt:lpstr>５</vt:lpstr>
      <vt:lpstr>6</vt:lpstr>
      <vt:lpstr>７</vt:lpstr>
      <vt:lpstr>８</vt:lpstr>
      <vt:lpstr>９</vt:lpstr>
      <vt:lpstr>10</vt:lpstr>
      <vt:lpstr>11</vt:lpstr>
      <vt:lpstr>12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asato</dc:creator>
  <cp:lastModifiedBy>asato</cp:lastModifiedBy>
  <dcterms:created xsi:type="dcterms:W3CDTF">2018-02-01T05:47:50Z</dcterms:created>
  <dcterms:modified xsi:type="dcterms:W3CDTF">2018-08-01T06:22:13Z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2971b89c-d398-49a1-ad25-85b669d8c3e7</vt:lpwstr>
  </property>
</Properties>
</file>